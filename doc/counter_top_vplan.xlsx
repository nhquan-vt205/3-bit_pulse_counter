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plan" sheetId="1" state="visible" r:id="rId3"/>
    <sheet name="Coverage" sheetId="2" state="visible" r:id="rId4"/>
    <sheet name="Bench mapping" sheetId="3" state="visible" r:id="rId5"/>
  </sheets>
  <definedNames>
    <definedName function="false" hidden="false" localSheetId="2" name="_xlnm.Print_Titles" vbProcedure="false">'Bench mapping'!$3:$3</definedName>
    <definedName function="false" hidden="false" localSheetId="1" name="_xlnm.Print_Titles" vbProcedure="false">Coverage!$3:$3</definedName>
    <definedName function="false" hidden="false" localSheetId="0" name="_xlnm.Print_Titles" vbProcedure="false">Vplan!$4:$4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<sst xmlns="http://schemas.openxmlformats.org/spreadsheetml/2006/main" count="98" uniqueCount="90">
  <si>
    <t xml:space="preserve">VPLAN — counter_top register directed test checklist</t>
  </si>
  <si>
    <t xml:space="preserve">5 item phủ đủ 13 feature của khối register. Các test phủ lẫn nhau đã được gộp. DUT: rtl/counter_top.v · Bench: tb/counter_top/test_bench.v · Black-box qua rdata.</t>
  </si>
  <si>
    <t xml:space="preserve">ITEM</t>
  </si>
  <si>
    <t xml:space="preserve">DESCRIPTION</t>
  </si>
  <si>
    <t xml:space="preserve">SEQUENCES</t>
  </si>
  <si>
    <t xml:space="preserve">PASS CONDITION</t>
  </si>
  <si>
    <t xml:space="preserve">VP01
RESET</t>
  </si>
  <si>
    <t xml:space="preserve">Giá trị đọc về sau reset của CR và SR, và tính BẤT ĐỒNG BỘ của reset: rst_n phải có tác dụng ngay, không chờ cạnh lên clock.</t>
  </si>
  <si>
    <t xml:space="preserve">1. Giữ rst_n = 0 ≥ 2 cycle rồi nhả.
2. Đọc CR (0x000); đọc SR (0x004).
3. Idle 5 cycle, đọc lại SR.
4. Ghi CR = 0x1 tám lần (cnt wrap 7→0, set cờ overflow); đọc SR.
5. Hạ rst_n = 0 GIỮA cycle (cách cạnh lên ≥ 2 ns); giữ rst_n = 0 và lấy mẫu rdata của SR TRƯỚC cạnh lên kế tiếp.
6. Nhả rst_n; đọc CR và SR; rồi ghi CR = 0x1 và đọc SR.</t>
  </si>
  <si>
    <t xml:space="preserve">B2, B3:  CR = 0x0000_0000  và  SR = 0x0000_0000
B4:  SR = 0x0000_0008
B5:  SR = 0x0000_0000 quan sát được khi CHƯA có cạnh lên nào → reset bất đồng bộ (nếu đồng bộ thì vẫn đọc 0x0000_0008)
B6:  CR = SR = 0x0000_0000; sau lệnh ghi: SR = 0x0000_0001</t>
  </si>
  <si>
    <t xml:space="preserve">VP02
BUS &amp;
DECODE</t>
  </si>
  <si>
    <t xml:space="preserve">Giải mã địa chỉ đủ 10 bit (không alias), địa chỉ không map, rdata bị gate bởi rd_en và hợp lệ ngay trong cycle (tổ hợp, không pipeline), lệnh ghi bị gate bởi wr_en.</t>
  </si>
  <si>
    <t xml:space="preserve">1. Từ reset: ghi CR = 0x1 ba lần (cnt = 3); đọc SR.
2. Đặt addr = 0x004 với rd_en = 0; lấy mẫu rdata.
3. Đọc 0x001, 0x002, 0x003 (alias CR); 0x005, 0x006, 0x007 (alias SR); 0x008, 0x00C, 0x3FF (không map).
4. Ghi 0x001 = 0x1, 0x002 = 0x2, 0x003 = 0x3, 0x005 = 0x0; đọc SR.
5. Đọc SR, lấy mẫu rdata GIỮA cycle rd_en (trước cạnh lên).
6. Giữ wr_en = 0 với addr = 0x000, wdata = 0x1 trong 3 cycle; rồi wdata = 0x2 trong 3 cycle; đọc SR sau mỗi lần.
7. Set cờ overflow; giữ wr_en = 0 với addr = 0x004, wdata = 0x0 trong 3 cycle; đọc SR.
8. Đặt wr_en = rd_en = 1 cùng cycle tại addr = 0x000, wdata = 0x1; lấy mẫu rdata; cycle sau đọc SR.</t>
  </si>
  <si>
    <t xml:space="preserve">B1:  SR = 0x0000_0003
B2:  rdata = 0x0000_0000 (bị gate)
B3:  mọi địa chỉ trả 0x0000_0000
B4:  SR không đổi = 0x0000_0003 → ghi vào alias không tới CR/SR
B5:  rdata = 0x0000_0003 hợp lệ ngay trong cycle đó
B6:  SR không đổi = 0x0000_0001 → không wr_en thì không ghi
B7:  cờ overflow vẫn set
B8:  rdata = 0x0000_0000 và lệnh ghi VẪN có tác dụng (cnt +1). Lưu ý: đọc/ghi đồng thời là hành vi NGOÀI spec, ghi lại để debug khỏi phải đoán.</t>
  </si>
  <si>
    <t xml:space="preserve">VP03
CR FIELD
ACCESS</t>
  </si>
  <si>
    <t xml:space="preserve">CR.pulse_en là WO (ghi 1 sinh đúng một pulse, đọc về 0); CR.count_clr là W1P (ghi 1 xoá, ghi 0 vô hiệu, KHÔNG dính mức); bit reserved [31:2] ghi vào không có tác dụng.</t>
  </si>
  <si>
    <t xml:space="preserve">1. Từ reset: ghi CR = 0x1; đọc CR; đọc SR.
2. Ghi CR = 0x2; đọc CR; đọc SR.
3. Ghi CR = 0x0; đọc SR.
4. Ghi CR = 0x1 hai lần; đọc SR.
5. Ghi CR = 0xFFFF_FFFC (chỉ bit reserved); đọc SR và CR.
6. Ghi CR = 0xFFFF_FFFF (cả hai lệnh cùng lúc); đọc SR.
7. Ghi CR = 0x1; đọc SR.
8. Đưa cnt về 5; với i = 2..31: ghi CR = (1 &lt;&lt; i), đọc CR và SR sau mỗi lần (quét 30 bit reserved).</t>
  </si>
  <si>
    <t xml:space="preserve">Đọc CR = 0x0000_0000 ở MỌI bước (cả hai field đều không có phần tử lưu)
B1:  SR = 0x0000_0001 — đúng một pulse
B2:  SR = 0x0000_0000 — đã xoá
B3:  SR không đổi — ghi 0 vô hiệu
B4:  SR = 0x0000_0002 — mỗi lệnh đúng một pulse
B5:  SR = 0x0000_0002 — reserved vô hiệu
B6:  SR = 0x0000_0000 — count_clr thắng pulse
B7:  SR = 0x0000_0001 — CHECK QUYẾT ĐỊNH: count_clr không dính mức. Nếu hiện thực thành bit RW có lưu, counter sẽ kẹt ở 0 và bước này đọc về 0x0000_0000.
B8:  SR = 0x0000_0005 với mọi i</t>
  </si>
  <si>
    <t xml:space="preserve">VP04
SR.cnt
READBACK</t>
  </si>
  <si>
    <t xml:space="preserve">SR.cnt[2:0] là RO, phản ánh count[2:0] theo thời gian thực (không qua flip-flop riêng), ghi vào không đổi được; quét đủ 8 giá trị đếm.</t>
  </si>
  <si>
    <t xml:space="preserve">1. Từ reset, lặp 8 lần: ghi CR = 0x1 rồi đọc SR.
2. Ghi SR = 0x0 để clear cờ; ghi CR = 0x1 năm lần; đọc SR.
3. Ghi SR = 0x0000_0007 (định ghi đè cnt = 7); đọc SR.
4. Ghi SR = 0xFFFF_FFFF; đọc SR.
5. Đọc SR hai lần liên tiếp, không xen lệnh ghi.
6. Ghi CR = 0x1 rồi đọc SR ở cycle LIỀN SAU, không có cycle trống ở giữa.</t>
  </si>
  <si>
    <t xml:space="preserve">B1:  SR = 0x1, 0x2, …, 0x7 rồi 0x0000_0008 ở lần thứ 8 (wrap 7→0 và set cờ)
B2:  SR = 0x0000_0005
B3, B4:  SR = 0x0000_0005 — cnt KHÔNG ghi được. Giá trị ghi (7) cố tình khác giá trị đang có (5); nếu để trùng nhau thì check mất ý nghĩa.
B5:  hai lần đọc cho cùng giá trị — đọc không phá dữ liệu
B6:  SR = 0x0000_0006 — thấy ngay cycle kế. Phải LIỀN KỀ: nếu BFM chèn một cycle trống thì một hiện thực sai lấy cnt từ flip-flop vẫn pass.</t>
  </si>
  <si>
    <t xml:space="preserve">VP05
SR.overflow
RW0C</t>
  </si>
  <si>
    <t xml:space="preserve">SR.overflow[3] set bởi sự kiện tràn, giữ mức (sticky, không tự clear), ghi 1 vô hiệu, ghi 0 mới clear; bit reserved [31:4] của SR ghi vào không có tác dụng.</t>
  </si>
  <si>
    <t xml:space="preserve">1. Từ reset: ghi CR = 0x1 tám lần; đọc SR.
2. Ghi SR = 0x0000_0008 rồi SR = 0x0000_000F; đọc SR sau mỗi lần.
3. Idle 5 cycle; đọc SR.
4. Ghi CR = 0x1 hai lần (pulse không gây tràn); đọc SR.
5. Ghi SR = 0x0000_0000; đọc SR.
6. Ghi CR = 0x1 sáu lần (2→7→wrap 0); đọc SR.
7. Ghi SR = 0xFFFF_FFF7; đọc SR.
8. Set lại cờ; với i ∈ {0..31} \ {3}: ghi SR = ~(1 &lt;&lt; i), đọc SR sau mỗi lần; bước cuối ghi SR = ~(1 &lt;&lt; 3).</t>
  </si>
  <si>
    <t xml:space="preserve">B1:  SR = 0x0000_0008
B2:  SR = 0x0000_0008 — ghi 1 vào bit[3] không tác dụng
B3:  SR = 0x0000_0008 — không tự clear theo thời gian
B4:  SR = 0x0000_000A — sticky qua các pulse sau
B5:  SR = 0x0000_0002 — ghi 0 clear cờ, cnt giữ nguyên
B6:  SR = 0x0000_0008 — set lại được sau khi clear
B7:  SR = 0x0000_0000 — chỉ bit[3] clear, reserved vô hiệu
B8:  cờ VẪN set với mọi i ≠ 3; chỉ bước cuối (bit[3] = 0) mới đưa cờ về 0</t>
  </si>
  <si>
    <t xml:space="preserve">Ghi chú</t>
  </si>
  <si>
    <t xml:space="preserve">• Clock 10 ns (100 MHz) là giả định của bench — spec không quy định tần số. Mọi bước tính theo cycle nên tần số không ảnh hưởng kết quả.</t>
  </si>
  <si>
    <t xml:space="preserve">• Lái tín hiệu ở negedge, lấy mẫu rdata trong cùng cycle rd_en. Mỗi lệnh ghi chiếm một cycle và luôn có một cycle trống theo sau — spec không hỗ trợ ghi back-to-back.</t>
  </si>
  <si>
    <t xml:space="preserve">• Mọi giá trị PASS CONDITION đã được đối chiếu với RTL bằng lần chạy thật của tb/counter_top/test_bench.v: 154/154 check PASS.</t>
  </si>
  <si>
    <t xml:space="preserve">• KHÔNG verify được ở mức IP: va chạm set/clear của SR.overflow trong cùng một cycle (quyết định O3). Sự kiện overflow chỉ sinh trong cycle ghi CR còn lệnh clear là ghi vào SR — hai địa chỉ khác nhau nên không thể cùng cycle trên một bus đơn. Mutation test đã xác nhận: bug 'set đè clear' không bị bắt.</t>
  </si>
  <si>
    <t xml:space="preserve">Truy vết feature → item (chứng minh gộp không làm mất coverage)</t>
  </si>
  <si>
    <t xml:space="preserve">Feature</t>
  </si>
  <si>
    <t xml:space="preserve">Mô tả</t>
  </si>
  <si>
    <t xml:space="preserve">Item phủ</t>
  </si>
  <si>
    <t xml:space="preserve">Số item phủ</t>
  </si>
  <si>
    <t xml:space="preserve">F01</t>
  </si>
  <si>
    <t xml:space="preserve">Giá trị đọc về sau reset của CR và SR</t>
  </si>
  <si>
    <t xml:space="preserve">VP01</t>
  </si>
  <si>
    <t xml:space="preserve">F02</t>
  </si>
  <si>
    <t xml:space="preserve">Giải mã addr đủ 10 bit, không alias</t>
  </si>
  <si>
    <t xml:space="preserve">VP02</t>
  </si>
  <si>
    <t xml:space="preserve">F03</t>
  </si>
  <si>
    <t xml:space="preserve">Địa chỉ không map đọc trả 0, ghi vô hiệu</t>
  </si>
  <si>
    <t xml:space="preserve">F04</t>
  </si>
  <si>
    <t xml:space="preserve">rdata bị gate bởi rd_en</t>
  </si>
  <si>
    <t xml:space="preserve">F05</t>
  </si>
  <si>
    <t xml:space="preserve">rdata hợp lệ ngay trong cycle có rd_en (tổ hợp)</t>
  </si>
  <si>
    <t xml:space="preserve">VP02, VP04</t>
  </si>
  <si>
    <t xml:space="preserve">F06</t>
  </si>
  <si>
    <t xml:space="preserve">CR.pulse_en là WO</t>
  </si>
  <si>
    <t xml:space="preserve">VP03</t>
  </si>
  <si>
    <t xml:space="preserve">F07</t>
  </si>
  <si>
    <t xml:space="preserve">CR.count_clr là W1P, không dính mức</t>
  </si>
  <si>
    <t xml:space="preserve">F08</t>
  </si>
  <si>
    <t xml:space="preserve">Bit reserved của CR vô hiệu</t>
  </si>
  <si>
    <t xml:space="preserve">F09</t>
  </si>
  <si>
    <t xml:space="preserve">SR.cnt là RO, real-time</t>
  </si>
  <si>
    <t xml:space="preserve">VP04</t>
  </si>
  <si>
    <t xml:space="preserve">F10</t>
  </si>
  <si>
    <t xml:space="preserve">SR.overflow là RW0C, sticky</t>
  </si>
  <si>
    <t xml:space="preserve">VP05</t>
  </si>
  <si>
    <t xml:space="preserve">F11</t>
  </si>
  <si>
    <t xml:space="preserve">Bit reserved của SR vô hiệu</t>
  </si>
  <si>
    <t xml:space="preserve">F12</t>
  </si>
  <si>
    <t xml:space="preserve">Lệnh ghi bị gate bởi wr_en</t>
  </si>
  <si>
    <t xml:space="preserve">F13</t>
  </si>
  <si>
    <t xml:space="preserve">Reset bất đồng bộ</t>
  </si>
  <si>
    <t xml:space="preserve">Feature chưa được phủ</t>
  </si>
  <si>
    <t xml:space="preserve">Tổng số feature</t>
  </si>
  <si>
    <t xml:space="preserve">Bản gốc 8 testcase (TC01–TC08) đã gộp thành 5 item: VP01 ← TC01+TC08 · VP02 ← TC02+TC06 · VP03 ← TC03+TC07(A) · VP04 ← TC04 · VP05 ← TC05+TC07(B,C). Không testcase nào bị bỏ, chỉ gộp lại.</t>
  </si>
  <si>
    <t xml:space="preserve">Item → code bench đang chạy</t>
  </si>
  <si>
    <t xml:space="preserve">Item</t>
  </si>
  <si>
    <t xml:space="preserve">Task trong test_bench.v</t>
  </si>
  <si>
    <t xml:space="preserve">VP01 RESET</t>
  </si>
  <si>
    <t xml:space="preserve">F01, F13</t>
  </si>
  <si>
    <t xml:space="preserve">TC01 + TC08</t>
  </si>
  <si>
    <t xml:space="preserve">VP02 BUS &amp; DECODE</t>
  </si>
  <si>
    <t xml:space="preserve">F02, F03, F04, F05, F12</t>
  </si>
  <si>
    <t xml:space="preserve">TC02 + TC06</t>
  </si>
  <si>
    <t xml:space="preserve">VP03 CR FIELD ACCESS</t>
  </si>
  <si>
    <t xml:space="preserve">F06, F07, F08</t>
  </si>
  <si>
    <t xml:space="preserve">TC03 + TC07 (phase A)</t>
  </si>
  <si>
    <t xml:space="preserve">VP04 SR.cnt READBACK</t>
  </si>
  <si>
    <t xml:space="preserve">F09 (củng cố F05)</t>
  </si>
  <si>
    <t xml:space="preserve">TC04</t>
  </si>
  <si>
    <t xml:space="preserve">VP05 SR.overflow RW0C</t>
  </si>
  <si>
    <t xml:space="preserve">F10, F11</t>
  </si>
  <si>
    <t xml:space="preserve">TC05 + TC07 (phase B, C)</t>
  </si>
  <si>
    <t xml:space="preserve">Chạy: cd tb/counter_top &amp;&amp; iverilog -g2005 -Wall -s test_bench -o sim.out ../../rtl/counter_top.v ../../rtl/register.v ../../rtl/counter.v test_bench.v &amp;&amp; vvp sim.out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</si>
</sst>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5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F4F6F7"/>
        <bgColor rgb="FFFFFFFF"/>
      </patternFill>
    </fill>
    <fill>
      <patternFill patternType="solid">
        <fgColor rgb="FFE3F2E1"/>
        <bgColor rgb="FFF4F6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5CA"/>
      </left>
      <right style="thin">
        <color rgb="FFBFC5CA"/>
      </right>
      <top style="thin">
        <color rgb="FFBFC5CA"/>
      </top>
      <bottom style="thin">
        <color rgb="FFBFC5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5CA"/>
      <rgbColor rgb="FF808080"/>
      <rgbColor rgb="FF9999FF"/>
      <rgbColor rgb="FF993366"/>
      <rgbColor rgb="FFF4F6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F2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4" min="3" style="0" width="6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79.8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113.4" hidden="false" customHeight="false" outlineLevel="0" collapsed="false">
      <c r="A6" s="6" t="s">
        <v>10</v>
      </c>
      <c r="B6" s="7" t="s">
        <v>11</v>
      </c>
      <c r="C6" s="7" t="s">
        <v>12</v>
      </c>
      <c r="D6" s="7" t="s">
        <v>13</v>
      </c>
    </row>
    <row r="7" customFormat="false" ht="113.4" hidden="false" customHeight="false" outlineLevel="0" collapsed="false">
      <c r="A7" s="4" t="s">
        <v>14</v>
      </c>
      <c r="B7" s="5" t="s">
        <v>15</v>
      </c>
      <c r="C7" s="5" t="s">
        <v>16</v>
      </c>
      <c r="D7" s="5" t="s">
        <v>17</v>
      </c>
    </row>
    <row r="8" customFormat="false" ht="79.85" hidden="false" customHeight="false" outlineLevel="0" collapsed="false">
      <c r="A8" s="6" t="s">
        <v>18</v>
      </c>
      <c r="B8" s="7" t="s">
        <v>19</v>
      </c>
      <c r="C8" s="7" t="s">
        <v>20</v>
      </c>
      <c r="D8" s="7" t="s">
        <v>21</v>
      </c>
    </row>
    <row r="9" customFormat="false" ht="91" hidden="false" customHeight="false" outlineLevel="0" collapsed="false">
      <c r="A9" s="4" t="s">
        <v>22</v>
      </c>
      <c r="B9" s="5" t="s">
        <v>23</v>
      </c>
      <c r="C9" s="5" t="s">
        <v>24</v>
      </c>
      <c r="D9" s="5" t="s">
        <v>25</v>
      </c>
    </row>
    <row r="11" customFormat="false" ht="15" hidden="false" customHeight="false" outlineLevel="0" collapsed="false">
      <c r="A11" s="8" t="s">
        <v>26</v>
      </c>
    </row>
    <row r="12" customFormat="false" ht="27" hidden="false" customHeight="true" outlineLevel="0" collapsed="false">
      <c r="A12" s="9" t="s">
        <v>27</v>
      </c>
      <c r="B12" s="9"/>
      <c r="C12" s="9"/>
      <c r="D12" s="9"/>
    </row>
    <row r="13" customFormat="false" ht="27" hidden="false" customHeight="true" outlineLevel="0" collapsed="false">
      <c r="A13" s="9" t="s">
        <v>28</v>
      </c>
      <c r="B13" s="9"/>
      <c r="C13" s="9"/>
      <c r="D13" s="9"/>
    </row>
    <row r="14" customFormat="false" ht="27" hidden="false" customHeight="true" outlineLevel="0" collapsed="false">
      <c r="A14" s="9" t="s">
        <v>29</v>
      </c>
      <c r="B14" s="9"/>
      <c r="C14" s="9"/>
      <c r="D14" s="9"/>
    </row>
    <row r="15" customFormat="false" ht="40.5" hidden="false" customHeight="true" outlineLevel="0" collapsed="false">
      <c r="A15" s="9" t="s">
        <v>30</v>
      </c>
      <c r="B15" s="9"/>
      <c r="C15" s="9"/>
      <c r="D15" s="9"/>
    </row>
  </sheetData>
  <mergeCells count="5">
    <mergeCell ref="A2:D2"/>
    <mergeCell ref="A12:D12"/>
    <mergeCell ref="A13:D13"/>
    <mergeCell ref="A14:D14"/>
    <mergeCell ref="A15:D15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4"/>
    <col collapsed="false" customWidth="true" hidden="false" outlineLevel="0" max="3" min="3" style="0" width="18"/>
    <col collapsed="false" customWidth="true" hidden="false" outlineLevel="0" max="4" min="4" style="0" width="13"/>
  </cols>
  <sheetData>
    <row r="1" customFormat="false" ht="17.35" hidden="false" customHeight="false" outlineLevel="0" collapsed="false">
      <c r="A1" s="1" t="s">
        <v>31</v>
      </c>
    </row>
    <row r="3" customFormat="false" ht="15" hidden="false" customHeight="false" outlineLevel="0" collapsed="false">
      <c r="A3" s="3" t="s">
        <v>32</v>
      </c>
      <c r="B3" s="3" t="s">
        <v>33</v>
      </c>
      <c r="C3" s="3" t="s">
        <v>34</v>
      </c>
      <c r="D3" s="3" t="s">
        <v>35</v>
      </c>
    </row>
    <row r="4" customFormat="false" ht="15" hidden="false" customHeight="false" outlineLevel="0" collapsed="false">
      <c r="A4" s="10" t="s">
        <v>36</v>
      </c>
      <c r="B4" s="5" t="s">
        <v>37</v>
      </c>
      <c r="C4" s="11" t="s">
        <v>38</v>
      </c>
      <c r="D4" s="12" t="n">
        <f aca="false">LEN(C4)-LEN(SUBSTITUTE(C4,",",""))+1</f>
        <v>1</v>
      </c>
    </row>
    <row r="5" customFormat="false" ht="15" hidden="false" customHeight="false" outlineLevel="0" collapsed="false">
      <c r="A5" s="10" t="s">
        <v>39</v>
      </c>
      <c r="B5" s="5" t="s">
        <v>40</v>
      </c>
      <c r="C5" s="11" t="s">
        <v>41</v>
      </c>
      <c r="D5" s="12" t="n">
        <f aca="false">LEN(C5)-LEN(SUBSTITUTE(C5,",",""))+1</f>
        <v>1</v>
      </c>
    </row>
    <row r="6" customFormat="false" ht="15" hidden="false" customHeight="false" outlineLevel="0" collapsed="false">
      <c r="A6" s="10" t="s">
        <v>42</v>
      </c>
      <c r="B6" s="5" t="s">
        <v>43</v>
      </c>
      <c r="C6" s="11" t="s">
        <v>41</v>
      </c>
      <c r="D6" s="12" t="n">
        <f aca="false">LEN(C6)-LEN(SUBSTITUTE(C6,",",""))+1</f>
        <v>1</v>
      </c>
    </row>
    <row r="7" customFormat="false" ht="15" hidden="false" customHeight="false" outlineLevel="0" collapsed="false">
      <c r="A7" s="10" t="s">
        <v>44</v>
      </c>
      <c r="B7" s="5" t="s">
        <v>45</v>
      </c>
      <c r="C7" s="11" t="s">
        <v>41</v>
      </c>
      <c r="D7" s="12" t="n">
        <f aca="false">LEN(C7)-LEN(SUBSTITUTE(C7,",",""))+1</f>
        <v>1</v>
      </c>
    </row>
    <row r="8" customFormat="false" ht="15" hidden="false" customHeight="false" outlineLevel="0" collapsed="false">
      <c r="A8" s="10" t="s">
        <v>46</v>
      </c>
      <c r="B8" s="5" t="s">
        <v>47</v>
      </c>
      <c r="C8" s="11" t="s">
        <v>48</v>
      </c>
      <c r="D8" s="12" t="n">
        <f aca="false">LEN(C8)-LEN(SUBSTITUTE(C8,",",""))+1</f>
        <v>2</v>
      </c>
    </row>
    <row r="9" customFormat="false" ht="15" hidden="false" customHeight="false" outlineLevel="0" collapsed="false">
      <c r="A9" s="10" t="s">
        <v>49</v>
      </c>
      <c r="B9" s="5" t="s">
        <v>50</v>
      </c>
      <c r="C9" s="11" t="s">
        <v>51</v>
      </c>
      <c r="D9" s="12" t="n">
        <f aca="false">LEN(C9)-LEN(SUBSTITUTE(C9,",",""))+1</f>
        <v>1</v>
      </c>
    </row>
    <row r="10" customFormat="false" ht="15" hidden="false" customHeight="false" outlineLevel="0" collapsed="false">
      <c r="A10" s="10" t="s">
        <v>52</v>
      </c>
      <c r="B10" s="5" t="s">
        <v>53</v>
      </c>
      <c r="C10" s="11" t="s">
        <v>51</v>
      </c>
      <c r="D10" s="12" t="n">
        <f aca="false">LEN(C10)-LEN(SUBSTITUTE(C10,",",""))+1</f>
        <v>1</v>
      </c>
    </row>
    <row r="11" customFormat="false" ht="15" hidden="false" customHeight="false" outlineLevel="0" collapsed="false">
      <c r="A11" s="10" t="s">
        <v>54</v>
      </c>
      <c r="B11" s="5" t="s">
        <v>55</v>
      </c>
      <c r="C11" s="11" t="s">
        <v>51</v>
      </c>
      <c r="D11" s="12" t="n">
        <f aca="false">LEN(C11)-LEN(SUBSTITUTE(C11,",",""))+1</f>
        <v>1</v>
      </c>
    </row>
    <row r="12" customFormat="false" ht="15" hidden="false" customHeight="false" outlineLevel="0" collapsed="false">
      <c r="A12" s="10" t="s">
        <v>56</v>
      </c>
      <c r="B12" s="5" t="s">
        <v>57</v>
      </c>
      <c r="C12" s="11" t="s">
        <v>58</v>
      </c>
      <c r="D12" s="12" t="n">
        <f aca="false">LEN(C12)-LEN(SUBSTITUTE(C12,",",""))+1</f>
        <v>1</v>
      </c>
    </row>
    <row r="13" customFormat="false" ht="15" hidden="false" customHeight="false" outlineLevel="0" collapsed="false">
      <c r="A13" s="10" t="s">
        <v>59</v>
      </c>
      <c r="B13" s="5" t="s">
        <v>60</v>
      </c>
      <c r="C13" s="11" t="s">
        <v>61</v>
      </c>
      <c r="D13" s="12" t="n">
        <f aca="false">LEN(C13)-LEN(SUBSTITUTE(C13,",",""))+1</f>
        <v>1</v>
      </c>
    </row>
    <row r="14" customFormat="false" ht="15" hidden="false" customHeight="false" outlineLevel="0" collapsed="false">
      <c r="A14" s="10" t="s">
        <v>62</v>
      </c>
      <c r="B14" s="5" t="s">
        <v>63</v>
      </c>
      <c r="C14" s="11" t="s">
        <v>61</v>
      </c>
      <c r="D14" s="12" t="n">
        <f aca="false">LEN(C14)-LEN(SUBSTITUTE(C14,",",""))+1</f>
        <v>1</v>
      </c>
    </row>
    <row r="15" customFormat="false" ht="15" hidden="false" customHeight="false" outlineLevel="0" collapsed="false">
      <c r="A15" s="10" t="s">
        <v>64</v>
      </c>
      <c r="B15" s="5" t="s">
        <v>65</v>
      </c>
      <c r="C15" s="11" t="s">
        <v>41</v>
      </c>
      <c r="D15" s="12" t="n">
        <f aca="false">LEN(C15)-LEN(SUBSTITUTE(C15,",",""))+1</f>
        <v>1</v>
      </c>
    </row>
    <row r="16" customFormat="false" ht="15" hidden="false" customHeight="false" outlineLevel="0" collapsed="false">
      <c r="A16" s="10" t="s">
        <v>66</v>
      </c>
      <c r="B16" s="5" t="s">
        <v>67</v>
      </c>
      <c r="C16" s="11" t="s">
        <v>38</v>
      </c>
      <c r="D16" s="12" t="n">
        <f aca="false">LEN(C16)-LEN(SUBSTITUTE(C16,",",""))+1</f>
        <v>1</v>
      </c>
    </row>
    <row r="18" customFormat="false" ht="15" hidden="false" customHeight="false" outlineLevel="0" collapsed="false">
      <c r="A18" s="8" t="s">
        <v>68</v>
      </c>
      <c r="D18" s="10" t="n">
        <f aca="false">COUNTIF(D4:D16,0)</f>
        <v>0</v>
      </c>
    </row>
    <row r="19" customFormat="false" ht="15" hidden="false" customHeight="false" outlineLevel="0" collapsed="false">
      <c r="A19" s="8" t="s">
        <v>69</v>
      </c>
      <c r="D19" s="10" t="n">
        <f aca="false">COUNTA(A4:A16)</f>
        <v>13</v>
      </c>
    </row>
    <row r="21" customFormat="false" ht="39.75" hidden="false" customHeight="true" outlineLevel="0" collapsed="false">
      <c r="A21" s="9" t="s">
        <v>70</v>
      </c>
      <c r="B21" s="9"/>
      <c r="C21" s="9"/>
      <c r="D21" s="9"/>
    </row>
  </sheetData>
  <mergeCells count="1">
    <mergeCell ref="A21:D2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46"/>
  </cols>
  <sheetData>
    <row r="1" customFormat="false" ht="17.35" hidden="false" customHeight="false" outlineLevel="0" collapsed="false">
      <c r="A1" s="1" t="s">
        <v>71</v>
      </c>
    </row>
    <row r="3" customFormat="false" ht="15" hidden="false" customHeight="false" outlineLevel="0" collapsed="false">
      <c r="A3" s="3" t="s">
        <v>72</v>
      </c>
      <c r="B3" s="3" t="s">
        <v>32</v>
      </c>
      <c r="C3" s="3" t="s">
        <v>73</v>
      </c>
    </row>
    <row r="4" customFormat="false" ht="15" hidden="false" customHeight="false" outlineLevel="0" collapsed="false">
      <c r="A4" s="10" t="s">
        <v>74</v>
      </c>
      <c r="B4" s="5" t="s">
        <v>75</v>
      </c>
      <c r="C4" s="11" t="s">
        <v>76</v>
      </c>
    </row>
    <row r="5" customFormat="false" ht="15" hidden="false" customHeight="false" outlineLevel="0" collapsed="false">
      <c r="A5" s="10" t="s">
        <v>77</v>
      </c>
      <c r="B5" s="5" t="s">
        <v>78</v>
      </c>
      <c r="C5" s="11" t="s">
        <v>79</v>
      </c>
    </row>
    <row r="6" customFormat="false" ht="23.85" hidden="false" customHeight="false" outlineLevel="0" collapsed="false">
      <c r="A6" s="10" t="s">
        <v>80</v>
      </c>
      <c r="B6" s="5" t="s">
        <v>81</v>
      </c>
      <c r="C6" s="11" t="s">
        <v>82</v>
      </c>
    </row>
    <row r="7" customFormat="false" ht="23.85" hidden="false" customHeight="false" outlineLevel="0" collapsed="false">
      <c r="A7" s="10" t="s">
        <v>83</v>
      </c>
      <c r="B7" s="5" t="s">
        <v>84</v>
      </c>
      <c r="C7" s="11" t="s">
        <v>85</v>
      </c>
    </row>
    <row r="8" customFormat="false" ht="23.85" hidden="false" customHeight="false" outlineLevel="0" collapsed="false">
      <c r="A8" s="10" t="s">
        <v>86</v>
      </c>
      <c r="B8" s="5" t="s">
        <v>87</v>
      </c>
      <c r="C8" s="11" t="s">
        <v>88</v>
      </c>
    </row>
    <row r="10" customFormat="false" ht="31.5" hidden="false" customHeight="true" outlineLevel="0" collapsed="false">
      <c r="A10" s="9" t="s">
        <v>89</v>
      </c>
      <c r="B10" s="9"/>
      <c r="C10" s="9"/>
    </row>
  </sheetData>
  <mergeCells count="1">
    <mergeCell ref="A10:C10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2026-09-30T07:28:00Z</dcterms:created>
  <dc:creator>openpyxl</dc:creator>
  <dc:description/>
  <dc:language>en-US</dc:language>
  <cp:lastModifiedBy/>
  <dcterms:modified xsi:type="dcterms:W3CDTF">2026-09-30T07:28:00Z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