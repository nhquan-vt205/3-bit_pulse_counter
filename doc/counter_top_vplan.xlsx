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s" sheetId="2" state="visible" r:id="rId4"/>
    <sheet name="Testcases" sheetId="3" state="visible" r:id="rId5"/>
    <sheet name="Checks" sheetId="4" state="visible" r:id="rId6"/>
    <sheet name="Traceability" sheetId="5" state="visible" r:id="rId7"/>
    <sheet name="Coverage" sheetId="6" state="visible" r:id="rId8"/>
    <sheet name="Mutation test" sheetId="7" state="visible" r:id="rId9"/>
    <sheet name="Risks" sheetId="8" state="visible" r:id="rId10"/>
  </sheets>
  <definedNames>
    <definedName function="false" hidden="true" localSheetId="3" name="_xlnm._FilterDatabase" vbProcedure="false">Checks!$A$1:$H$155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<sst xmlns="http://schemas.openxmlformats.org/spreadsheetml/2006/main" count="1487" uniqueCount="273">
  <si>
    <t xml:space="preserve">Vplan - counter_top register read/write directed tests</t>
  </si>
  <si>
    <t xml:space="preserve">Xuat tu doc/counter_top_vplan.md va ket qua chay thuc te cua tb/counter_top/test_bench.v</t>
  </si>
  <si>
    <t xml:space="preserve">IP / DUT</t>
  </si>
  <si>
    <t xml:space="preserve">counter_top (rtl/counter_top.v, register.v, counter.v)</t>
  </si>
  <si>
    <t xml:space="preserve">Pham vi</t>
  </si>
  <si>
    <t xml:space="preserve">Kiem tra kha nang doc/ghi register qua CPU bus, directed test, black-box qua rdata</t>
  </si>
  <si>
    <t xml:space="preserve">Vplan</t>
  </si>
  <si>
    <t xml:space="preserve">doc/counter_top_vplan.md</t>
  </si>
  <si>
    <t xml:space="preserve">Bench</t>
  </si>
  <si>
    <t xml:space="preserve">tb/counter_top/test_bench.v</t>
  </si>
  <si>
    <t xml:space="preserve">Cong cu</t>
  </si>
  <si>
    <t xml:space="preserve">Icarus Verilog 12.0 (iverilog -g2005 -Wall, vvp)</t>
  </si>
  <si>
    <t xml:space="preserve">Chua chay</t>
  </si>
  <si>
    <t xml:space="preserve">Verilator lint, xvlog/xelab/xsim, Vivado synthesis - khong co trong moi truong</t>
  </si>
  <si>
    <t xml:space="preserve">Ngay xuat</t>
  </si>
  <si>
    <t xml:space="preserve">2026-09-30</t>
  </si>
  <si>
    <t xml:space="preserve">So lieu</t>
  </si>
  <si>
    <t xml:space="preserve">Tong so feature</t>
  </si>
  <si>
    <t xml:space="preserve">Tong so testcase</t>
  </si>
  <si>
    <t xml:space="preserve">Tong so check</t>
  </si>
  <si>
    <t xml:space="preserve">Check PASS</t>
  </si>
  <si>
    <t xml:space="preserve">Check FAIL</t>
  </si>
  <si>
    <t xml:space="preserve">Feature chua co testcase nao phu</t>
  </si>
  <si>
    <t xml:space="preserve">Ket luan</t>
  </si>
  <si>
    <t xml:space="preserve">Gia dinh / luu y</t>
  </si>
  <si>
    <t xml:space="preserve">- Clock 10 ns (100 MHz) la gia dinh cua bench - spec khong quy dinh tan so.</t>
  </si>
  <si>
    <t xml:space="preserve">- Cot 'Expected' o sheet Checks bang cot 'Actual' vi moi check deu PASS; voi check FAIL hai cot se khac nhau.</t>
  </si>
  <si>
    <t xml:space="preserve">- Moi o so lieu tren la cong thuc tham chieu cac sheet khac, khong phai so go tay.</t>
  </si>
  <si>
    <t xml:space="preserve">- So flip-flop (4) trong tai lieu la dem tren so do, khong phai so lieu synthesis.</t>
  </si>
  <si>
    <t xml:space="preserve">ID</t>
  </si>
  <si>
    <t xml:space="preserve">Feature</t>
  </si>
  <si>
    <t xml:space="preserve">Nguon</t>
  </si>
  <si>
    <t xml:space="preserve">Testcase phu</t>
  </si>
  <si>
    <t xml:space="preserve">So check</t>
  </si>
  <si>
    <t xml:space="preserve">F01</t>
  </si>
  <si>
    <t xml:space="preserve">Gia tri doc ve sau reset cua CR va SR</t>
  </si>
  <si>
    <t xml:space="preserve">spec §Register map, §Timing</t>
  </si>
  <si>
    <t xml:space="preserve">TC01, TC08</t>
  </si>
  <si>
    <t xml:space="preserve">F02</t>
  </si>
  <si>
    <t xml:space="preserve">Giai ma addr du 10 bit, khong alias (0x001-0x003, 0x005-0x007)</t>
  </si>
  <si>
    <t xml:space="preserve">proposal §4.1, O5</t>
  </si>
  <si>
    <t xml:space="preserve">TC02</t>
  </si>
  <si>
    <t xml:space="preserve">F03</t>
  </si>
  <si>
    <t xml:space="preserve">Dia chi khong map doc tra 0, ghi khong co tac dung</t>
  </si>
  <si>
    <t xml:space="preserve">proposal §4.5</t>
  </si>
  <si>
    <t xml:space="preserve">F04</t>
  </si>
  <si>
    <t xml:space="preserve">rdata bi gate boi rd_en</t>
  </si>
  <si>
    <t xml:space="preserve">proposal §4.5, O4</t>
  </si>
  <si>
    <t xml:space="preserve">F05</t>
  </si>
  <si>
    <t xml:space="preserve">rdata hop le ngay trong cycle co rd_en (to hop, khong pipeline)</t>
  </si>
  <si>
    <t xml:space="preserve">proposal O4</t>
  </si>
  <si>
    <t xml:space="preserve">TC02, TC04</t>
  </si>
  <si>
    <t xml:space="preserve">F06</t>
  </si>
  <si>
    <t xml:space="preserve">CR.pulse_en la WO: ghi 1 sinh dung 1 pulse, doc lai 0</t>
  </si>
  <si>
    <t xml:space="preserve">spec §Register map</t>
  </si>
  <si>
    <t xml:space="preserve">TC03, TC04, TC07</t>
  </si>
  <si>
    <t xml:space="preserve">F07</t>
  </si>
  <si>
    <t xml:space="preserve">CR.count_clr la W1P: ghi 1 xoa, ghi 0 khong tac dung, doc lai 0, khong dinh muc</t>
  </si>
  <si>
    <t xml:space="preserve">spec §Functional behavior, O1</t>
  </si>
  <si>
    <t xml:space="preserve">TC03, TC06, TC07</t>
  </si>
  <si>
    <t xml:space="preserve">F08</t>
  </si>
  <si>
    <t xml:space="preserve">Bit reserved cua CR ghi vao khong co tac dung</t>
  </si>
  <si>
    <t xml:space="preserve">proposal §2.3</t>
  </si>
  <si>
    <t xml:space="preserve">TC03, TC07</t>
  </si>
  <si>
    <t xml:space="preserve">F09</t>
  </si>
  <si>
    <t xml:space="preserve">SR.cnt la RO, phan anh real-time count[2:0], ghi khong doi duoc</t>
  </si>
  <si>
    <t xml:space="preserve">spec §Functional behavior</t>
  </si>
  <si>
    <t xml:space="preserve">TC02, TC04, TC05</t>
  </si>
  <si>
    <t xml:space="preserve">F10</t>
  </si>
  <si>
    <t xml:space="preserve">SR.overflow la RW0C: ghi 0 clear, ghi 1 vo hieu, khong tu clear</t>
  </si>
  <si>
    <t xml:space="preserve">spec §Timing, proposal §4.4</t>
  </si>
  <si>
    <t xml:space="preserve">TC04, TC05, TC07</t>
  </si>
  <si>
    <t xml:space="preserve">F11</t>
  </si>
  <si>
    <t xml:space="preserve">Bit reserved cua SR ghi vao khong co tac dung, doc 0</t>
  </si>
  <si>
    <t xml:space="preserve">F12</t>
  </si>
  <si>
    <t xml:space="preserve">Lenh ghi chi co tac dung khi wr_en = 1</t>
  </si>
  <si>
    <t xml:space="preserve">proposal §4.1</t>
  </si>
  <si>
    <t xml:space="preserve">TC06</t>
  </si>
  <si>
    <t xml:space="preserve">F13</t>
  </si>
  <si>
    <t xml:space="preserve">Reset bat dong bo dua SR doc ve 0</t>
  </si>
  <si>
    <t xml:space="preserve">spec §Timing, O6</t>
  </si>
  <si>
    <t xml:space="preserve">TC08</t>
  </si>
  <si>
    <t xml:space="preserve">Task trong bench</t>
  </si>
  <si>
    <t xml:space="preserve">Muc dich</t>
  </si>
  <si>
    <t xml:space="preserve">PASS</t>
  </si>
  <si>
    <t xml:space="preserve">FAIL</t>
  </si>
  <si>
    <t xml:space="preserve">Ket qua</t>
  </si>
  <si>
    <t xml:space="preserve">TC01</t>
  </si>
  <si>
    <t xml:space="preserve">tb_reg_reset_value</t>
  </si>
  <si>
    <t xml:space="preserve">tb_reg_rd_path</t>
  </si>
  <si>
    <t xml:space="preserve">Duong doc: gate rd_en, alias dia chi, dia chi khong map, rdata to hop</t>
  </si>
  <si>
    <t xml:space="preserve">F02, F03, F04, F05, F09</t>
  </si>
  <si>
    <t xml:space="preserve">TC03</t>
  </si>
  <si>
    <t xml:space="preserve">tb_reg_cr_write</t>
  </si>
  <si>
    <t xml:space="preserve">CR la WO / W1P, bit reserved vo hai, count_clr khong dinh muc</t>
  </si>
  <si>
    <t xml:space="preserve">F06, F07, F08</t>
  </si>
  <si>
    <t xml:space="preserve">TC04</t>
  </si>
  <si>
    <t xml:space="preserve">tb_reg_sr_cnt_ro</t>
  </si>
  <si>
    <t xml:space="preserve">SR.cnt la RO va real-time; quet du 8 gia tri cnt</t>
  </si>
  <si>
    <t xml:space="preserve">F05, F09, F11</t>
  </si>
  <si>
    <t xml:space="preserve">TC05</t>
  </si>
  <si>
    <t xml:space="preserve">tb_reg_sr_ovf_rw0c</t>
  </si>
  <si>
    <t xml:space="preserve">SR.overflow la RW0C: set, ghi 1 vo hieu, ghi 0 clear, sticky</t>
  </si>
  <si>
    <t xml:space="preserve">F09, F10, F11</t>
  </si>
  <si>
    <t xml:space="preserve">tb_reg_wr_en_gate</t>
  </si>
  <si>
    <t xml:space="preserve">Lenh ghi bi gate boi wr_en; doc/ghi dong thoi (ngoai spec)</t>
  </si>
  <si>
    <t xml:space="preserve">TC07</t>
  </si>
  <si>
    <t xml:space="preserve">tb_reg_bit_sweep</t>
  </si>
  <si>
    <t xml:space="preserve">Quet tung bit wdata tren CR va SR de bat lech bit-mapping</t>
  </si>
  <si>
    <t xml:space="preserve">F06, F07, F08, F10, F11</t>
  </si>
  <si>
    <t xml:space="preserve">tb_reg_reset_async</t>
  </si>
  <si>
    <t xml:space="preserve">Reset bat dong bo assert giua cycle</t>
  </si>
  <si>
    <t xml:space="preserve">F01, F13</t>
  </si>
  <si>
    <t xml:space="preserve">TC</t>
  </si>
  <si>
    <t xml:space="preserve">Task</t>
  </si>
  <si>
    <t xml:space="preserve">Check</t>
  </si>
  <si>
    <t xml:space="preserve">Ten check</t>
  </si>
  <si>
    <t xml:space="preserve">Expected</t>
  </si>
  <si>
    <t xml:space="preserve">Actual</t>
  </si>
  <si>
    <t xml:space="preserve">1</t>
  </si>
  <si>
    <t xml:space="preserve">CR reads 0 after reset</t>
  </si>
  <si>
    <t xml:space="preserve">0x00000000</t>
  </si>
  <si>
    <t xml:space="preserve">2</t>
  </si>
  <si>
    <t xml:space="preserve">SR reads 0 after reset</t>
  </si>
  <si>
    <t xml:space="preserve">3</t>
  </si>
  <si>
    <t xml:space="preserve">SR still 0 after idle</t>
  </si>
  <si>
    <t xml:space="preserve">SR shows cnt=3</t>
  </si>
  <si>
    <t xml:space="preserve">0x00000003</t>
  </si>
  <si>
    <t xml:space="preserve">rd_en=0 gates rdata</t>
  </si>
  <si>
    <t xml:space="preserve">3a</t>
  </si>
  <si>
    <t xml:space="preserve">read 0x001 is not CR</t>
  </si>
  <si>
    <t xml:space="preserve">3b</t>
  </si>
  <si>
    <t xml:space="preserve">read 0x002 is not CR</t>
  </si>
  <si>
    <t xml:space="preserve">3c</t>
  </si>
  <si>
    <t xml:space="preserve">read 0x003 is not CR</t>
  </si>
  <si>
    <t xml:space="preserve">4a</t>
  </si>
  <si>
    <t xml:space="preserve">read 0x005 is not SR</t>
  </si>
  <si>
    <t xml:space="preserve">4b</t>
  </si>
  <si>
    <t xml:space="preserve">read 0x006 is not SR</t>
  </si>
  <si>
    <t xml:space="preserve">4c</t>
  </si>
  <si>
    <t xml:space="preserve">read 0x007 is not SR</t>
  </si>
  <si>
    <t xml:space="preserve">5a</t>
  </si>
  <si>
    <t xml:space="preserve">read 0x008 unmapped</t>
  </si>
  <si>
    <t xml:space="preserve">5b</t>
  </si>
  <si>
    <t xml:space="preserve">read 0x00C unmapped</t>
  </si>
  <si>
    <t xml:space="preserve">5c</t>
  </si>
  <si>
    <t xml:space="preserve">read 0x3FF unmapped</t>
  </si>
  <si>
    <t xml:space="preserve">6</t>
  </si>
  <si>
    <t xml:space="preserve">alias writes had no effect</t>
  </si>
  <si>
    <t xml:space="preserve">F02, F03</t>
  </si>
  <si>
    <t xml:space="preserve">7</t>
  </si>
  <si>
    <t xml:space="preserve">rdata valid pre-edge</t>
  </si>
  <si>
    <t xml:space="preserve">CR readback 0 (WO)</t>
  </si>
  <si>
    <t xml:space="preserve">pulse reached counter</t>
  </si>
  <si>
    <t xml:space="preserve">0x00000001</t>
  </si>
  <si>
    <t xml:space="preserve">CR readback 0 (W1P)</t>
  </si>
  <si>
    <t xml:space="preserve">4</t>
  </si>
  <si>
    <t xml:space="preserve">count_clr cleared cnt</t>
  </si>
  <si>
    <t xml:space="preserve">5</t>
  </si>
  <si>
    <t xml:space="preserve">CR=0 has no effect</t>
  </si>
  <si>
    <t xml:space="preserve">one pulse per write</t>
  </si>
  <si>
    <t xml:space="preserve">0x00000002</t>
  </si>
  <si>
    <t xml:space="preserve">CR reserved inert</t>
  </si>
  <si>
    <t xml:space="preserve">8</t>
  </si>
  <si>
    <t xml:space="preserve">CR still readback 0</t>
  </si>
  <si>
    <t xml:space="preserve">9</t>
  </si>
  <si>
    <t xml:space="preserve">count_clr beats pulse</t>
  </si>
  <si>
    <t xml:space="preserve">10</t>
  </si>
  <si>
    <t xml:space="preserve">count_clr not sticky</t>
  </si>
  <si>
    <t xml:space="preserve">cnt sweep</t>
  </si>
  <si>
    <t xml:space="preserve">0x00000004</t>
  </si>
  <si>
    <t xml:space="preserve">0x00000005</t>
  </si>
  <si>
    <t xml:space="preserve">0x00000006</t>
  </si>
  <si>
    <t xml:space="preserve">0x00000007</t>
  </si>
  <si>
    <t xml:space="preserve">cnt wraps, ovf set</t>
  </si>
  <si>
    <t xml:space="preserve">0x00000008</t>
  </si>
  <si>
    <t xml:space="preserve">cnt=5 ovf clear</t>
  </si>
  <si>
    <t xml:space="preserve">cnt is RO (wrote 7)</t>
  </si>
  <si>
    <t xml:space="preserve">SR all-ones inert</t>
  </si>
  <si>
    <t xml:space="preserve">F09, F11</t>
  </si>
  <si>
    <t xml:space="preserve">read is non-destructive</t>
  </si>
  <si>
    <t xml:space="preserve">cnt live in next cycle</t>
  </si>
  <si>
    <t xml:space="preserve">F05, F09</t>
  </si>
  <si>
    <t xml:space="preserve">ovf set by wrap</t>
  </si>
  <si>
    <t xml:space="preserve">write 1 no effect</t>
  </si>
  <si>
    <t xml:space="preserve">write 0xF no clear</t>
  </si>
  <si>
    <t xml:space="preserve">F10, F11</t>
  </si>
  <si>
    <t xml:space="preserve">ovf never self-clears</t>
  </si>
  <si>
    <t xml:space="preserve">ovf sticky over pulses</t>
  </si>
  <si>
    <t xml:space="preserve">0x0000000a</t>
  </si>
  <si>
    <t xml:space="preserve">write 0 clears, cnt kept</t>
  </si>
  <si>
    <t xml:space="preserve">F09, F10</t>
  </si>
  <si>
    <t xml:space="preserve">ovf can be set again</t>
  </si>
  <si>
    <t xml:space="preserve">only bit3 clears</t>
  </si>
  <si>
    <t xml:space="preserve">cnt=1</t>
  </si>
  <si>
    <t xml:space="preserve">no pulse without wr_en</t>
  </si>
  <si>
    <t xml:space="preserve">no clear without wr_en</t>
  </si>
  <si>
    <t xml:space="preserve">ovf set, cnt=0</t>
  </si>
  <si>
    <t xml:space="preserve">CR read during write</t>
  </si>
  <si>
    <t xml:space="preserve">write took effect</t>
  </si>
  <si>
    <t xml:space="preserve">0x00000009</t>
  </si>
  <si>
    <t xml:space="preserve">A0</t>
  </si>
  <si>
    <t xml:space="preserve">cnt parked at 5</t>
  </si>
  <si>
    <t xml:space="preserve">A</t>
  </si>
  <si>
    <t xml:space="preserve">CR reserved bit readback</t>
  </si>
  <si>
    <t xml:space="preserve">CR reserved bit inert</t>
  </si>
  <si>
    <t xml:space="preserve">B0</t>
  </si>
  <si>
    <t xml:space="preserve">ovf set</t>
  </si>
  <si>
    <t xml:space="preserve">B</t>
  </si>
  <si>
    <t xml:space="preserve">only bit3 can clear</t>
  </si>
  <si>
    <t xml:space="preserve">C</t>
  </si>
  <si>
    <t xml:space="preserve">bit3=0 clears ovf</t>
  </si>
  <si>
    <t xml:space="preserve">ovf set, cnt wrapped</t>
  </si>
  <si>
    <t xml:space="preserve">reset acts before any edge</t>
  </si>
  <si>
    <t xml:space="preserve">DUT works after reset</t>
  </si>
  <si>
    <t xml:space="preserve">So TC phu</t>
  </si>
  <si>
    <t xml:space="preserve">X</t>
  </si>
  <si>
    <t xml:space="preserve">Moi feature F01-F13 deu co it nhat mot testcase phu. Cot 'So TC phu' la cong thuc dem tren chinh hang do.</t>
  </si>
  <si>
    <t xml:space="preserve">Hang muc</t>
  </si>
  <si>
    <t xml:space="preserve">Muc tieu</t>
  </si>
  <si>
    <t xml:space="preserve">Testcase</t>
  </si>
  <si>
    <t xml:space="preserve">Dia chi duoc truy cap</t>
  </si>
  <si>
    <t xml:space="preserve">0x000, 0x004, alias 0x001-0x003 va 0x005-0x007, ngoai map 0x008 / 0x00C / 0x3FF</t>
  </si>
  <si>
    <t xml:space="preserve">Gia tri SR.cnt doc duoc</t>
  </si>
  <si>
    <t xml:space="preserve">du 8 gia tri 0..7</t>
  </si>
  <si>
    <t xml:space="preserve">TC04 check 1</t>
  </si>
  <si>
    <t xml:space="preserve">SR.overflow</t>
  </si>
  <si>
    <t xml:space="preserve">ca hai muc 0/1; chuyen 0-&gt;1 va 1-&gt;0; giu muc &gt;= 5 cycle</t>
  </si>
  <si>
    <t xml:space="preserve">To hop wr_en / rd_en</t>
  </si>
  <si>
    <t xml:space="preserve">00, 01, 10, 11</t>
  </si>
  <si>
    <t xml:space="preserve">TC02, TC06</t>
  </si>
  <si>
    <t xml:space="preserve">Bit wdata da quet</t>
  </si>
  <si>
    <t xml:space="preserve">toan bo 32 bit tren ca CR va SR</t>
  </si>
  <si>
    <t xml:space="preserve">Reset</t>
  </si>
  <si>
    <t xml:space="preserve">1 lan luc khoi dong + 1 lan giua cycle</t>
  </si>
  <si>
    <t xml:space="preserve">Do kha nang phat hien loi cua bench - 7 bug tiem vao ban copy RTL</t>
  </si>
  <si>
    <t xml:space="preserve">Bug duoc tiem</t>
  </si>
  <si>
    <t xml:space="preserve">TC bat duoc</t>
  </si>
  <si>
    <t xml:space="preserve">M1</t>
  </si>
  <si>
    <t xml:space="preserve">CR.count_clr thanh bit RW co phan tu luu (pha O1)</t>
  </si>
  <si>
    <t xml:space="preserve">BAT DUOC</t>
  </si>
  <si>
    <t xml:space="preserve">M2</t>
  </si>
  <si>
    <t xml:space="preserve">rdata thanh co pipeline (pha O4)</t>
  </si>
  <si>
    <t xml:space="preserve">TC02-TC08</t>
  </si>
  <si>
    <t xml:space="preserve">M3</t>
  </si>
  <si>
    <t xml:space="preserve">SR.overflow: set de clear (pha O3)</t>
  </si>
  <si>
    <t xml:space="preserve">KHONG BAT DUOC</t>
  </si>
  <si>
    <t xml:space="preserve">-</t>
  </si>
  <si>
    <t xml:space="preserve">M4</t>
  </si>
  <si>
    <t xml:space="preserve">Decode word-aligned, bo 2 bit thap (pha O5)</t>
  </si>
  <si>
    <t xml:space="preserve">M5</t>
  </si>
  <si>
    <t xml:space="preserve">Reset thanh dong bo (pha O6)</t>
  </si>
  <si>
    <t xml:space="preserve">M6</t>
  </si>
  <si>
    <t xml:space="preserve">SR.overflow tu clear khi co pulse ke tiep</t>
  </si>
  <si>
    <t xml:space="preserve">TC04-TC08</t>
  </si>
  <si>
    <t xml:space="preserve">M7</t>
  </si>
  <si>
    <t xml:space="preserve">SR.cnt readback lay tu flip-flop thay vi count real-time</t>
  </si>
  <si>
    <t xml:space="preserve">Ty le bat:</t>
  </si>
  <si>
    <t xml:space="preserve">Ca truot duy nhat la M3, dung nhu rui ro R1 da du doan: khong the dung va cham set/clear cua SR.overflow tren mot bus CPU don. Day la bang chung thuc nghiem cho R1, khong phai lo hong moi.</t>
  </si>
  <si>
    <t xml:space="preserve">Van de</t>
  </si>
  <si>
    <t xml:space="preserve">Ghi chu / huong xu ly</t>
  </si>
  <si>
    <t xml:space="preserve">R1</t>
  </si>
  <si>
    <t xml:space="preserve">Khong tao duoc va cham set vs clear cua SR.overflow (O3) qua CPU bus: event overflow chi sinh trong cycle ghi CR, con lenh clear la ghi vao SR - hai dia chi khac nhau nen khong the cung mot cycle.</t>
  </si>
  <si>
    <t xml:space="preserve">Khong verify duoc o muc IP. Da xac nhan bang mutation test: bug 'set de clear' KHONG bi bat. Muon phu phai white-box hoac bench muc submodule.</t>
  </si>
  <si>
    <t xml:space="preserve">R2</t>
  </si>
  <si>
    <t xml:space="preserve">CR khong readback nen moi ket luan ve lenh ghi CR la suy ra gian tiep qua SR.</t>
  </si>
  <si>
    <t xml:space="preserve">Chap nhan duoc voi thiet ke 4 flip-flop; bench muc submodule se khep lai neu can.</t>
  </si>
  <si>
    <t xml:space="preserve">R3</t>
  </si>
  <si>
    <t xml:space="preserve">Tan so clock 10 ns la gia dinh cua bench, spec khong quy dinh.</t>
  </si>
  <si>
    <t xml:space="preserve">Khong anh huong ket qua functional vi moi check tinh theo cycle.</t>
  </si>
  <si>
    <t xml:space="preserve">R4</t>
  </si>
  <si>
    <t xml:space="preserve">TC06 check 5-6 (doc/ghi dong thoi) kiem tra hanh vi NGOAI spec.</t>
  </si>
  <si>
    <t xml:space="preserve">Neu spec sau nay dinh nghia khac thi TC nay phai sua; no khong phai bang chung vi pham requirement.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</si>
</sst>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7F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3F2E1"/>
        <bgColor rgb="FFFBE2E2"/>
      </patternFill>
    </fill>
    <fill>
      <patternFill patternType="solid">
        <fgColor rgb="FFFBE2E2"/>
        <bgColor rgb="FFE3F2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2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5A"/>
      <rgbColor rgb="FFBFC5CA"/>
      <rgbColor rgb="FF808080"/>
      <rgbColor rgb="FF9999FF"/>
      <rgbColor rgb="FF993366"/>
      <rgbColor rgb="FFFBE2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3" t="s">
        <v>16</v>
      </c>
    </row>
    <row r="13" customFormat="false" ht="15" hidden="false" customHeight="false" outlineLevel="0" collapsed="false">
      <c r="A13" s="3" t="s">
        <v>17</v>
      </c>
      <c r="B13" s="4" t="n">
        <f aca="false">COUNTA(Features!A2:A14)</f>
        <v>13</v>
      </c>
    </row>
    <row r="14" customFormat="false" ht="15" hidden="false" customHeight="false" outlineLevel="0" collapsed="false">
      <c r="A14" s="3" t="s">
        <v>18</v>
      </c>
      <c r="B14" s="4" t="n">
        <f aca="false">COUNTA(Testcases!A2:A9)</f>
        <v>8</v>
      </c>
    </row>
    <row r="15" customFormat="false" ht="15" hidden="false" customHeight="false" outlineLevel="0" collapsed="false">
      <c r="A15" s="3" t="s">
        <v>19</v>
      </c>
      <c r="B15" s="4" t="n">
        <f aca="false">COUNTA(Checks!A2:A155)</f>
        <v>154</v>
      </c>
    </row>
    <row r="16" customFormat="false" ht="15" hidden="false" customHeight="false" outlineLevel="0" collapsed="false">
      <c r="A16" s="3" t="s">
        <v>20</v>
      </c>
      <c r="B16" s="4" t="n">
        <f aca="false">COUNTIF(Checks!G2:G155,"PASS")</f>
        <v>154</v>
      </c>
    </row>
    <row r="17" customFormat="false" ht="15" hidden="false" customHeight="false" outlineLevel="0" collapsed="false">
      <c r="A17" s="3" t="s">
        <v>21</v>
      </c>
      <c r="B17" s="4" t="n">
        <f aca="false">COUNTIF(Checks!G2:G155,"FAIL")</f>
        <v>0</v>
      </c>
    </row>
    <row r="18" customFormat="false" ht="15" hidden="false" customHeight="false" outlineLevel="0" collapsed="false">
      <c r="A18" s="3" t="s">
        <v>22</v>
      </c>
      <c r="B18" s="4" t="n">
        <f aca="false">COUNTIF(Traceability!J2:J14,0)</f>
        <v>0</v>
      </c>
    </row>
    <row r="19" customFormat="false" ht="15" hidden="false" customHeight="false" outlineLevel="0" collapsed="false">
      <c r="A19" s="3" t="s">
        <v>23</v>
      </c>
      <c r="B19" s="5" t="str">
        <f aca="false">IF(B13=0,"[FINISH] PASS","[FINISH] FAIL")</f>
        <v>[FINISH] FAIL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true" outlineLevel="0" collapsed="false">
      <c r="A22" s="6" t="s">
        <v>25</v>
      </c>
      <c r="B22" s="6"/>
      <c r="C22" s="6"/>
      <c r="D22" s="6"/>
    </row>
    <row r="23" customFormat="false" ht="15" hidden="false" customHeight="true" outlineLevel="0" collapsed="false">
      <c r="A23" s="6" t="s">
        <v>26</v>
      </c>
      <c r="B23" s="6"/>
      <c r="C23" s="6"/>
      <c r="D23" s="6"/>
    </row>
    <row r="24" customFormat="false" ht="15" hidden="false" customHeight="true" outlineLevel="0" collapsed="false">
      <c r="A24" s="6" t="s">
        <v>27</v>
      </c>
      <c r="B24" s="6"/>
      <c r="C24" s="6"/>
      <c r="D24" s="6"/>
    </row>
    <row r="25" customFormat="false" ht="15" hidden="false" customHeight="true" outlineLevel="0" collapsed="false">
      <c r="A25" s="6" t="s">
        <v>28</v>
      </c>
      <c r="B25" s="6"/>
      <c r="C25" s="6"/>
      <c r="D25" s="6"/>
    </row>
  </sheetData>
  <mergeCells count="4"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1"/>
  </cols>
  <sheetData>
    <row r="1" customFormat="false" ht="27.7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</row>
    <row r="2" customFormat="false" ht="15" hidden="false" customHeight="false" outlineLevel="0" collapsed="false">
      <c r="A2" s="8" t="s">
        <v>34</v>
      </c>
      <c r="B2" s="4" t="s">
        <v>35</v>
      </c>
      <c r="C2" s="6" t="s">
        <v>36</v>
      </c>
      <c r="D2" s="9" t="s">
        <v>37</v>
      </c>
      <c r="E2" s="10" t="n">
        <f aca="false">SUMPRODUCT(--ISNUMBER(SEARCH(A2,Checks!$H$2:$H$155)))</f>
        <v>6</v>
      </c>
    </row>
    <row r="3" customFormat="false" ht="15" hidden="false" customHeight="false" outlineLevel="0" collapsed="false">
      <c r="A3" s="8" t="s">
        <v>38</v>
      </c>
      <c r="B3" s="4" t="s">
        <v>39</v>
      </c>
      <c r="C3" s="6" t="s">
        <v>40</v>
      </c>
      <c r="D3" s="9" t="s">
        <v>41</v>
      </c>
      <c r="E3" s="10" t="n">
        <f aca="false">SUMPRODUCT(--ISNUMBER(SEARCH(A3,Checks!$H$2:$H$155)))</f>
        <v>7</v>
      </c>
    </row>
    <row r="4" customFormat="false" ht="15" hidden="false" customHeight="false" outlineLevel="0" collapsed="false">
      <c r="A4" s="8" t="s">
        <v>42</v>
      </c>
      <c r="B4" s="4" t="s">
        <v>43</v>
      </c>
      <c r="C4" s="6" t="s">
        <v>44</v>
      </c>
      <c r="D4" s="9" t="s">
        <v>41</v>
      </c>
      <c r="E4" s="10" t="n">
        <f aca="false">SUMPRODUCT(--ISNUMBER(SEARCH(A4,Checks!$H$2:$H$155)))</f>
        <v>4</v>
      </c>
    </row>
    <row r="5" customFormat="false" ht="15" hidden="false" customHeight="false" outlineLevel="0" collapsed="false">
      <c r="A5" s="8" t="s">
        <v>45</v>
      </c>
      <c r="B5" s="4" t="s">
        <v>46</v>
      </c>
      <c r="C5" s="6" t="s">
        <v>47</v>
      </c>
      <c r="D5" s="9" t="s">
        <v>41</v>
      </c>
      <c r="E5" s="10" t="n">
        <f aca="false">SUMPRODUCT(--ISNUMBER(SEARCH(A5,Checks!$H$2:$H$155)))</f>
        <v>1</v>
      </c>
    </row>
    <row r="6" customFormat="false" ht="15" hidden="false" customHeight="false" outlineLevel="0" collapsed="false">
      <c r="A6" s="8" t="s">
        <v>48</v>
      </c>
      <c r="B6" s="4" t="s">
        <v>49</v>
      </c>
      <c r="C6" s="6" t="s">
        <v>50</v>
      </c>
      <c r="D6" s="9" t="s">
        <v>51</v>
      </c>
      <c r="E6" s="10" t="n">
        <f aca="false">SUMPRODUCT(--ISNUMBER(SEARCH(A6,Checks!$H$2:$H$155)))</f>
        <v>2</v>
      </c>
    </row>
    <row r="7" customFormat="false" ht="15" hidden="false" customHeight="false" outlineLevel="0" collapsed="false">
      <c r="A7" s="8" t="s">
        <v>52</v>
      </c>
      <c r="B7" s="4" t="s">
        <v>53</v>
      </c>
      <c r="C7" s="6" t="s">
        <v>54</v>
      </c>
      <c r="D7" s="9" t="s">
        <v>55</v>
      </c>
      <c r="E7" s="10" t="n">
        <f aca="false">SUMPRODUCT(--ISNUMBER(SEARCH(A7,Checks!$H$2:$H$155)))</f>
        <v>3</v>
      </c>
    </row>
    <row r="8" customFormat="false" ht="15" hidden="false" customHeight="false" outlineLevel="0" collapsed="false">
      <c r="A8" s="8" t="s">
        <v>56</v>
      </c>
      <c r="B8" s="4" t="s">
        <v>57</v>
      </c>
      <c r="C8" s="6" t="s">
        <v>58</v>
      </c>
      <c r="D8" s="9" t="s">
        <v>59</v>
      </c>
      <c r="E8" s="10" t="n">
        <f aca="false">SUMPRODUCT(--ISNUMBER(SEARCH(A8,Checks!$H$2:$H$155)))</f>
        <v>5</v>
      </c>
    </row>
    <row r="9" customFormat="false" ht="15" hidden="false" customHeight="false" outlineLevel="0" collapsed="false">
      <c r="A9" s="8" t="s">
        <v>60</v>
      </c>
      <c r="B9" s="4" t="s">
        <v>61</v>
      </c>
      <c r="C9" s="6" t="s">
        <v>62</v>
      </c>
      <c r="D9" s="9" t="s">
        <v>63</v>
      </c>
      <c r="E9" s="10" t="n">
        <f aca="false">SUMPRODUCT(--ISNUMBER(SEARCH(A9,Checks!$H$2:$H$155)))</f>
        <v>2</v>
      </c>
    </row>
    <row r="10" customFormat="false" ht="15" hidden="false" customHeight="false" outlineLevel="0" collapsed="false">
      <c r="A10" s="8" t="s">
        <v>64</v>
      </c>
      <c r="B10" s="4" t="s">
        <v>65</v>
      </c>
      <c r="C10" s="6" t="s">
        <v>66</v>
      </c>
      <c r="D10" s="9" t="s">
        <v>67</v>
      </c>
      <c r="E10" s="10" t="n">
        <f aca="false">SUMPRODUCT(--ISNUMBER(SEARCH(A10,Checks!$H$2:$H$155)))</f>
        <v>16</v>
      </c>
    </row>
    <row r="11" customFormat="false" ht="15" hidden="false" customHeight="false" outlineLevel="0" collapsed="false">
      <c r="A11" s="8" t="s">
        <v>68</v>
      </c>
      <c r="B11" s="4" t="s">
        <v>69</v>
      </c>
      <c r="C11" s="6" t="s">
        <v>70</v>
      </c>
      <c r="D11" s="9" t="s">
        <v>71</v>
      </c>
      <c r="E11" s="10" t="n">
        <f aca="false">SUMPRODUCT(--ISNUMBER(SEARCH(A11,Checks!$H$2:$H$155)))</f>
        <v>102</v>
      </c>
    </row>
    <row r="12" customFormat="false" ht="15" hidden="false" customHeight="false" outlineLevel="0" collapsed="false">
      <c r="A12" s="8" t="s">
        <v>72</v>
      </c>
      <c r="B12" s="4" t="s">
        <v>73</v>
      </c>
      <c r="C12" s="6" t="s">
        <v>62</v>
      </c>
      <c r="D12" s="9" t="s">
        <v>71</v>
      </c>
      <c r="E12" s="10" t="n">
        <f aca="false">SUMPRODUCT(--ISNUMBER(SEARCH(A12,Checks!$H$2:$H$155)))</f>
        <v>97</v>
      </c>
    </row>
    <row r="13" customFormat="false" ht="15" hidden="false" customHeight="false" outlineLevel="0" collapsed="false">
      <c r="A13" s="8" t="s">
        <v>74</v>
      </c>
      <c r="B13" s="4" t="s">
        <v>75</v>
      </c>
      <c r="C13" s="6" t="s">
        <v>76</v>
      </c>
      <c r="D13" s="9" t="s">
        <v>77</v>
      </c>
      <c r="E13" s="10" t="n">
        <f aca="false">SUMPRODUCT(--ISNUMBER(SEARCH(A13,Checks!$H$2:$H$155)))</f>
        <v>7</v>
      </c>
    </row>
    <row r="14" customFormat="false" ht="15" hidden="false" customHeight="false" outlineLevel="0" collapsed="false">
      <c r="A14" s="8" t="s">
        <v>78</v>
      </c>
      <c r="B14" s="4" t="s">
        <v>79</v>
      </c>
      <c r="C14" s="6" t="s">
        <v>80</v>
      </c>
      <c r="D14" s="9" t="s">
        <v>81</v>
      </c>
      <c r="E14" s="10" t="n">
        <f aca="false">SUMPRODUCT(--ISNUMBER(SEARCH(A14,Checks!$H$2:$H$155)))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1"/>
  </cols>
  <sheetData>
    <row r="1" customFormat="false" ht="27.75" hidden="false" customHeight="true" outlineLevel="0" collapsed="false">
      <c r="A1" s="7" t="s">
        <v>29</v>
      </c>
      <c r="B1" s="7" t="s">
        <v>82</v>
      </c>
      <c r="C1" s="7" t="s">
        <v>83</v>
      </c>
      <c r="D1" s="7" t="s">
        <v>30</v>
      </c>
      <c r="E1" s="7" t="s">
        <v>33</v>
      </c>
      <c r="F1" s="7" t="s">
        <v>84</v>
      </c>
      <c r="G1" s="7" t="s">
        <v>85</v>
      </c>
      <c r="H1" s="7" t="s">
        <v>86</v>
      </c>
    </row>
    <row r="2" customFormat="false" ht="15" hidden="false" customHeight="false" outlineLevel="0" collapsed="false">
      <c r="A2" s="8" t="s">
        <v>87</v>
      </c>
      <c r="B2" s="9" t="s">
        <v>88</v>
      </c>
      <c r="C2" s="4" t="s">
        <v>35</v>
      </c>
      <c r="D2" s="9" t="s">
        <v>34</v>
      </c>
      <c r="E2" s="10" t="n">
        <f aca="false">COUNTIF(Checks!$A$2:$A$155,$A2)</f>
        <v>3</v>
      </c>
      <c r="F2" s="10" t="n">
        <f aca="false">COUNTIFS(Checks!$A$2:$A$155,$A2,Checks!$G$2:$G$155,"PASS")</f>
        <v>3</v>
      </c>
      <c r="G2" s="10" t="n">
        <f aca="false">COUNTIFS(Checks!$A$2:$A$155,$A2,Checks!$G$2:$G$155,"FAIL")</f>
        <v>0</v>
      </c>
      <c r="H2" s="8" t="str">
        <f aca="false">IF(G2=0,"PASS","FAIL")</f>
        <v>PASS</v>
      </c>
    </row>
    <row r="3" customFormat="false" ht="15" hidden="false" customHeight="false" outlineLevel="0" collapsed="false">
      <c r="A3" s="8" t="s">
        <v>41</v>
      </c>
      <c r="B3" s="9" t="s">
        <v>89</v>
      </c>
      <c r="C3" s="4" t="s">
        <v>90</v>
      </c>
      <c r="D3" s="9" t="s">
        <v>91</v>
      </c>
      <c r="E3" s="10" t="n">
        <f aca="false">COUNTIF(Checks!$A$2:$A$155,$A3)</f>
        <v>13</v>
      </c>
      <c r="F3" s="10" t="n">
        <f aca="false">COUNTIFS(Checks!$A$2:$A$155,$A3,Checks!$G$2:$G$155,"PASS")</f>
        <v>13</v>
      </c>
      <c r="G3" s="10" t="n">
        <f aca="false">COUNTIFS(Checks!$A$2:$A$155,$A3,Checks!$G$2:$G$155,"FAIL")</f>
        <v>0</v>
      </c>
      <c r="H3" s="8" t="str">
        <f aca="false">IF(G3=0,"PASS","FAIL")</f>
        <v>PASS</v>
      </c>
    </row>
    <row r="4" customFormat="false" ht="15" hidden="false" customHeight="false" outlineLevel="0" collapsed="false">
      <c r="A4" s="8" t="s">
        <v>92</v>
      </c>
      <c r="B4" s="9" t="s">
        <v>93</v>
      </c>
      <c r="C4" s="4" t="s">
        <v>94</v>
      </c>
      <c r="D4" s="9" t="s">
        <v>95</v>
      </c>
      <c r="E4" s="10" t="n">
        <f aca="false">COUNTIF(Checks!$A$2:$A$155,$A4)</f>
        <v>10</v>
      </c>
      <c r="F4" s="10" t="n">
        <f aca="false">COUNTIFS(Checks!$A$2:$A$155,$A4,Checks!$G$2:$G$155,"PASS")</f>
        <v>10</v>
      </c>
      <c r="G4" s="10" t="n">
        <f aca="false">COUNTIFS(Checks!$A$2:$A$155,$A4,Checks!$G$2:$G$155,"FAIL")</f>
        <v>0</v>
      </c>
      <c r="H4" s="8" t="str">
        <f aca="false">IF(G4=0,"PASS","FAIL")</f>
        <v>PASS</v>
      </c>
    </row>
    <row r="5" customFormat="false" ht="15" hidden="false" customHeight="false" outlineLevel="0" collapsed="false">
      <c r="A5" s="8" t="s">
        <v>96</v>
      </c>
      <c r="B5" s="9" t="s">
        <v>97</v>
      </c>
      <c r="C5" s="4" t="s">
        <v>98</v>
      </c>
      <c r="D5" s="9" t="s">
        <v>99</v>
      </c>
      <c r="E5" s="10" t="n">
        <f aca="false">COUNTIF(Checks!$A$2:$A$155,$A5)</f>
        <v>14</v>
      </c>
      <c r="F5" s="10" t="n">
        <f aca="false">COUNTIFS(Checks!$A$2:$A$155,$A5,Checks!$G$2:$G$155,"PASS")</f>
        <v>14</v>
      </c>
      <c r="G5" s="10" t="n">
        <f aca="false">COUNTIFS(Checks!$A$2:$A$155,$A5,Checks!$G$2:$G$155,"FAIL")</f>
        <v>0</v>
      </c>
      <c r="H5" s="8" t="str">
        <f aca="false">IF(G5=0,"PASS","FAIL")</f>
        <v>PASS</v>
      </c>
    </row>
    <row r="6" customFormat="false" ht="15" hidden="false" customHeight="false" outlineLevel="0" collapsed="false">
      <c r="A6" s="8" t="s">
        <v>100</v>
      </c>
      <c r="B6" s="9" t="s">
        <v>101</v>
      </c>
      <c r="C6" s="4" t="s">
        <v>102</v>
      </c>
      <c r="D6" s="9" t="s">
        <v>103</v>
      </c>
      <c r="E6" s="10" t="n">
        <f aca="false">COUNTIF(Checks!$A$2:$A$155,$A6)</f>
        <v>8</v>
      </c>
      <c r="F6" s="10" t="n">
        <f aca="false">COUNTIFS(Checks!$A$2:$A$155,$A6,Checks!$G$2:$G$155,"PASS")</f>
        <v>8</v>
      </c>
      <c r="G6" s="10" t="n">
        <f aca="false">COUNTIFS(Checks!$A$2:$A$155,$A6,Checks!$G$2:$G$155,"FAIL")</f>
        <v>0</v>
      </c>
      <c r="H6" s="8" t="str">
        <f aca="false">IF(G6=0,"PASS","FAIL")</f>
        <v>PASS</v>
      </c>
    </row>
    <row r="7" customFormat="false" ht="15" hidden="false" customHeight="false" outlineLevel="0" collapsed="false">
      <c r="A7" s="8" t="s">
        <v>77</v>
      </c>
      <c r="B7" s="9" t="s">
        <v>104</v>
      </c>
      <c r="C7" s="4" t="s">
        <v>105</v>
      </c>
      <c r="D7" s="9" t="s">
        <v>74</v>
      </c>
      <c r="E7" s="10" t="n">
        <f aca="false">COUNTIF(Checks!$A$2:$A$155,$A7)</f>
        <v>7</v>
      </c>
      <c r="F7" s="10" t="n">
        <f aca="false">COUNTIFS(Checks!$A$2:$A$155,$A7,Checks!$G$2:$G$155,"PASS")</f>
        <v>7</v>
      </c>
      <c r="G7" s="10" t="n">
        <f aca="false">COUNTIFS(Checks!$A$2:$A$155,$A7,Checks!$G$2:$G$155,"FAIL")</f>
        <v>0</v>
      </c>
      <c r="H7" s="8" t="str">
        <f aca="false">IF(G7=0,"PASS","FAIL")</f>
        <v>PASS</v>
      </c>
    </row>
    <row r="8" customFormat="false" ht="15" hidden="false" customHeight="false" outlineLevel="0" collapsed="false">
      <c r="A8" s="8" t="s">
        <v>106</v>
      </c>
      <c r="B8" s="9" t="s">
        <v>107</v>
      </c>
      <c r="C8" s="4" t="s">
        <v>108</v>
      </c>
      <c r="D8" s="9" t="s">
        <v>109</v>
      </c>
      <c r="E8" s="10" t="n">
        <f aca="false">COUNTIF(Checks!$A$2:$A$155,$A8)</f>
        <v>94</v>
      </c>
      <c r="F8" s="10" t="n">
        <f aca="false">COUNTIFS(Checks!$A$2:$A$155,$A8,Checks!$G$2:$G$155,"PASS")</f>
        <v>94</v>
      </c>
      <c r="G8" s="10" t="n">
        <f aca="false">COUNTIFS(Checks!$A$2:$A$155,$A8,Checks!$G$2:$G$155,"FAIL")</f>
        <v>0</v>
      </c>
      <c r="H8" s="8" t="str">
        <f aca="false">IF(G8=0,"PASS","FAIL")</f>
        <v>PASS</v>
      </c>
    </row>
    <row r="9" customFormat="false" ht="15" hidden="false" customHeight="false" outlineLevel="0" collapsed="false">
      <c r="A9" s="8" t="s">
        <v>81</v>
      </c>
      <c r="B9" s="9" t="s">
        <v>110</v>
      </c>
      <c r="C9" s="4" t="s">
        <v>111</v>
      </c>
      <c r="D9" s="9" t="s">
        <v>112</v>
      </c>
      <c r="E9" s="10" t="n">
        <f aca="false">COUNTIF(Checks!$A$2:$A$155,$A9)</f>
        <v>5</v>
      </c>
      <c r="F9" s="10" t="n">
        <f aca="false">COUNTIFS(Checks!$A$2:$A$155,$A9,Checks!$G$2:$G$155,"PASS")</f>
        <v>5</v>
      </c>
      <c r="G9" s="10" t="n">
        <f aca="false">COUNTIFS(Checks!$A$2:$A$155,$A9,Checks!$G$2:$G$155,"FAIL")</f>
        <v>0</v>
      </c>
      <c r="H9" s="8" t="str">
        <f aca="false">IF(G9=0,"PASS","FAIL")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7" t="s">
        <v>113</v>
      </c>
      <c r="B1" s="7" t="s">
        <v>114</v>
      </c>
      <c r="C1" s="7" t="s">
        <v>115</v>
      </c>
      <c r="D1" s="7" t="s">
        <v>116</v>
      </c>
      <c r="E1" s="7" t="s">
        <v>117</v>
      </c>
      <c r="F1" s="7" t="s">
        <v>118</v>
      </c>
      <c r="G1" s="7" t="s">
        <v>86</v>
      </c>
      <c r="H1" s="7" t="s">
        <v>30</v>
      </c>
    </row>
    <row r="2" customFormat="false" ht="15" hidden="false" customHeight="false" outlineLevel="0" collapsed="false">
      <c r="A2" s="10" t="s">
        <v>87</v>
      </c>
      <c r="B2" s="9" t="s">
        <v>88</v>
      </c>
      <c r="C2" s="11" t="s">
        <v>119</v>
      </c>
      <c r="D2" s="4" t="s">
        <v>120</v>
      </c>
      <c r="E2" s="11" t="s">
        <v>121</v>
      </c>
      <c r="F2" s="11" t="s">
        <v>121</v>
      </c>
      <c r="G2" s="12" t="s">
        <v>84</v>
      </c>
      <c r="H2" s="9" t="s">
        <v>34</v>
      </c>
    </row>
    <row r="3" customFormat="false" ht="15" hidden="false" customHeight="false" outlineLevel="0" collapsed="false">
      <c r="A3" s="10" t="s">
        <v>87</v>
      </c>
      <c r="B3" s="9" t="s">
        <v>88</v>
      </c>
      <c r="C3" s="11" t="s">
        <v>122</v>
      </c>
      <c r="D3" s="4" t="s">
        <v>123</v>
      </c>
      <c r="E3" s="11" t="s">
        <v>121</v>
      </c>
      <c r="F3" s="11" t="s">
        <v>121</v>
      </c>
      <c r="G3" s="12" t="s">
        <v>84</v>
      </c>
      <c r="H3" s="9" t="s">
        <v>34</v>
      </c>
    </row>
    <row r="4" customFormat="false" ht="15" hidden="false" customHeight="false" outlineLevel="0" collapsed="false">
      <c r="A4" s="10" t="s">
        <v>87</v>
      </c>
      <c r="B4" s="9" t="s">
        <v>88</v>
      </c>
      <c r="C4" s="11" t="s">
        <v>124</v>
      </c>
      <c r="D4" s="4" t="s">
        <v>125</v>
      </c>
      <c r="E4" s="11" t="s">
        <v>121</v>
      </c>
      <c r="F4" s="11" t="s">
        <v>121</v>
      </c>
      <c r="G4" s="12" t="s">
        <v>84</v>
      </c>
      <c r="H4" s="9" t="s">
        <v>34</v>
      </c>
    </row>
    <row r="5" customFormat="false" ht="15" hidden="false" customHeight="false" outlineLevel="0" collapsed="false">
      <c r="A5" s="10" t="s">
        <v>41</v>
      </c>
      <c r="B5" s="9" t="s">
        <v>89</v>
      </c>
      <c r="C5" s="11" t="s">
        <v>119</v>
      </c>
      <c r="D5" s="4" t="s">
        <v>126</v>
      </c>
      <c r="E5" s="11" t="s">
        <v>127</v>
      </c>
      <c r="F5" s="11" t="s">
        <v>127</v>
      </c>
      <c r="G5" s="12" t="s">
        <v>84</v>
      </c>
      <c r="H5" s="9" t="s">
        <v>64</v>
      </c>
    </row>
    <row r="6" customFormat="false" ht="15" hidden="false" customHeight="false" outlineLevel="0" collapsed="false">
      <c r="A6" s="10" t="s">
        <v>41</v>
      </c>
      <c r="B6" s="9" t="s">
        <v>89</v>
      </c>
      <c r="C6" s="11" t="s">
        <v>122</v>
      </c>
      <c r="D6" s="4" t="s">
        <v>128</v>
      </c>
      <c r="E6" s="11" t="s">
        <v>121</v>
      </c>
      <c r="F6" s="11" t="s">
        <v>121</v>
      </c>
      <c r="G6" s="12" t="s">
        <v>84</v>
      </c>
      <c r="H6" s="9" t="s">
        <v>45</v>
      </c>
    </row>
    <row r="7" customFormat="false" ht="15" hidden="false" customHeight="false" outlineLevel="0" collapsed="false">
      <c r="A7" s="10" t="s">
        <v>41</v>
      </c>
      <c r="B7" s="9" t="s">
        <v>89</v>
      </c>
      <c r="C7" s="11" t="s">
        <v>129</v>
      </c>
      <c r="D7" s="4" t="s">
        <v>130</v>
      </c>
      <c r="E7" s="11" t="s">
        <v>121</v>
      </c>
      <c r="F7" s="11" t="s">
        <v>121</v>
      </c>
      <c r="G7" s="12" t="s">
        <v>84</v>
      </c>
      <c r="H7" s="9" t="s">
        <v>38</v>
      </c>
    </row>
    <row r="8" customFormat="false" ht="15" hidden="false" customHeight="false" outlineLevel="0" collapsed="false">
      <c r="A8" s="10" t="s">
        <v>41</v>
      </c>
      <c r="B8" s="9" t="s">
        <v>89</v>
      </c>
      <c r="C8" s="11" t="s">
        <v>131</v>
      </c>
      <c r="D8" s="4" t="s">
        <v>132</v>
      </c>
      <c r="E8" s="11" t="s">
        <v>121</v>
      </c>
      <c r="F8" s="11" t="s">
        <v>121</v>
      </c>
      <c r="G8" s="12" t="s">
        <v>84</v>
      </c>
      <c r="H8" s="9" t="s">
        <v>38</v>
      </c>
    </row>
    <row r="9" customFormat="false" ht="15" hidden="false" customHeight="false" outlineLevel="0" collapsed="false">
      <c r="A9" s="10" t="s">
        <v>41</v>
      </c>
      <c r="B9" s="9" t="s">
        <v>89</v>
      </c>
      <c r="C9" s="11" t="s">
        <v>133</v>
      </c>
      <c r="D9" s="4" t="s">
        <v>134</v>
      </c>
      <c r="E9" s="11" t="s">
        <v>121</v>
      </c>
      <c r="F9" s="11" t="s">
        <v>121</v>
      </c>
      <c r="G9" s="12" t="s">
        <v>84</v>
      </c>
      <c r="H9" s="9" t="s">
        <v>38</v>
      </c>
    </row>
    <row r="10" customFormat="false" ht="15" hidden="false" customHeight="false" outlineLevel="0" collapsed="false">
      <c r="A10" s="10" t="s">
        <v>41</v>
      </c>
      <c r="B10" s="9" t="s">
        <v>89</v>
      </c>
      <c r="C10" s="11" t="s">
        <v>135</v>
      </c>
      <c r="D10" s="4" t="s">
        <v>136</v>
      </c>
      <c r="E10" s="11" t="s">
        <v>121</v>
      </c>
      <c r="F10" s="11" t="s">
        <v>121</v>
      </c>
      <c r="G10" s="12" t="s">
        <v>84</v>
      </c>
      <c r="H10" s="9" t="s">
        <v>38</v>
      </c>
    </row>
    <row r="11" customFormat="false" ht="15" hidden="false" customHeight="false" outlineLevel="0" collapsed="false">
      <c r="A11" s="10" t="s">
        <v>41</v>
      </c>
      <c r="B11" s="9" t="s">
        <v>89</v>
      </c>
      <c r="C11" s="11" t="s">
        <v>137</v>
      </c>
      <c r="D11" s="4" t="s">
        <v>138</v>
      </c>
      <c r="E11" s="11" t="s">
        <v>121</v>
      </c>
      <c r="F11" s="11" t="s">
        <v>121</v>
      </c>
      <c r="G11" s="12" t="s">
        <v>84</v>
      </c>
      <c r="H11" s="9" t="s">
        <v>38</v>
      </c>
    </row>
    <row r="12" customFormat="false" ht="15" hidden="false" customHeight="false" outlineLevel="0" collapsed="false">
      <c r="A12" s="10" t="s">
        <v>41</v>
      </c>
      <c r="B12" s="9" t="s">
        <v>89</v>
      </c>
      <c r="C12" s="11" t="s">
        <v>139</v>
      </c>
      <c r="D12" s="4" t="s">
        <v>140</v>
      </c>
      <c r="E12" s="11" t="s">
        <v>121</v>
      </c>
      <c r="F12" s="11" t="s">
        <v>121</v>
      </c>
      <c r="G12" s="12" t="s">
        <v>84</v>
      </c>
      <c r="H12" s="9" t="s">
        <v>38</v>
      </c>
    </row>
    <row r="13" customFormat="false" ht="15" hidden="false" customHeight="false" outlineLevel="0" collapsed="false">
      <c r="A13" s="10" t="s">
        <v>41</v>
      </c>
      <c r="B13" s="9" t="s">
        <v>89</v>
      </c>
      <c r="C13" s="11" t="s">
        <v>141</v>
      </c>
      <c r="D13" s="4" t="s">
        <v>142</v>
      </c>
      <c r="E13" s="11" t="s">
        <v>121</v>
      </c>
      <c r="F13" s="11" t="s">
        <v>121</v>
      </c>
      <c r="G13" s="12" t="s">
        <v>84</v>
      </c>
      <c r="H13" s="9" t="s">
        <v>42</v>
      </c>
    </row>
    <row r="14" customFormat="false" ht="15" hidden="false" customHeight="false" outlineLevel="0" collapsed="false">
      <c r="A14" s="10" t="s">
        <v>41</v>
      </c>
      <c r="B14" s="9" t="s">
        <v>89</v>
      </c>
      <c r="C14" s="11" t="s">
        <v>143</v>
      </c>
      <c r="D14" s="4" t="s">
        <v>144</v>
      </c>
      <c r="E14" s="11" t="s">
        <v>121</v>
      </c>
      <c r="F14" s="11" t="s">
        <v>121</v>
      </c>
      <c r="G14" s="12" t="s">
        <v>84</v>
      </c>
      <c r="H14" s="9" t="s">
        <v>42</v>
      </c>
    </row>
    <row r="15" customFormat="false" ht="15" hidden="false" customHeight="false" outlineLevel="0" collapsed="false">
      <c r="A15" s="10" t="s">
        <v>41</v>
      </c>
      <c r="B15" s="9" t="s">
        <v>89</v>
      </c>
      <c r="C15" s="11" t="s">
        <v>145</v>
      </c>
      <c r="D15" s="4" t="s">
        <v>146</v>
      </c>
      <c r="E15" s="11" t="s">
        <v>121</v>
      </c>
      <c r="F15" s="11" t="s">
        <v>121</v>
      </c>
      <c r="G15" s="12" t="s">
        <v>84</v>
      </c>
      <c r="H15" s="9" t="s">
        <v>42</v>
      </c>
    </row>
    <row r="16" customFormat="false" ht="15" hidden="false" customHeight="false" outlineLevel="0" collapsed="false">
      <c r="A16" s="10" t="s">
        <v>41</v>
      </c>
      <c r="B16" s="9" t="s">
        <v>89</v>
      </c>
      <c r="C16" s="11" t="s">
        <v>147</v>
      </c>
      <c r="D16" s="4" t="s">
        <v>148</v>
      </c>
      <c r="E16" s="11" t="s">
        <v>127</v>
      </c>
      <c r="F16" s="11" t="s">
        <v>127</v>
      </c>
      <c r="G16" s="12" t="s">
        <v>84</v>
      </c>
      <c r="H16" s="9" t="s">
        <v>149</v>
      </c>
    </row>
    <row r="17" customFormat="false" ht="15" hidden="false" customHeight="false" outlineLevel="0" collapsed="false">
      <c r="A17" s="10" t="s">
        <v>41</v>
      </c>
      <c r="B17" s="9" t="s">
        <v>89</v>
      </c>
      <c r="C17" s="11" t="s">
        <v>150</v>
      </c>
      <c r="D17" s="4" t="s">
        <v>151</v>
      </c>
      <c r="E17" s="11" t="s">
        <v>127</v>
      </c>
      <c r="F17" s="11" t="s">
        <v>127</v>
      </c>
      <c r="G17" s="12" t="s">
        <v>84</v>
      </c>
      <c r="H17" s="9" t="s">
        <v>48</v>
      </c>
    </row>
    <row r="18" customFormat="false" ht="15" hidden="false" customHeight="false" outlineLevel="0" collapsed="false">
      <c r="A18" s="10" t="s">
        <v>92</v>
      </c>
      <c r="B18" s="9" t="s">
        <v>93</v>
      </c>
      <c r="C18" s="11" t="s">
        <v>119</v>
      </c>
      <c r="D18" s="4" t="s">
        <v>152</v>
      </c>
      <c r="E18" s="11" t="s">
        <v>121</v>
      </c>
      <c r="F18" s="11" t="s">
        <v>121</v>
      </c>
      <c r="G18" s="12" t="s">
        <v>84</v>
      </c>
      <c r="H18" s="9" t="s">
        <v>52</v>
      </c>
    </row>
    <row r="19" customFormat="false" ht="15" hidden="false" customHeight="false" outlineLevel="0" collapsed="false">
      <c r="A19" s="10" t="s">
        <v>92</v>
      </c>
      <c r="B19" s="9" t="s">
        <v>93</v>
      </c>
      <c r="C19" s="11" t="s">
        <v>122</v>
      </c>
      <c r="D19" s="4" t="s">
        <v>153</v>
      </c>
      <c r="E19" s="11" t="s">
        <v>154</v>
      </c>
      <c r="F19" s="11" t="s">
        <v>154</v>
      </c>
      <c r="G19" s="12" t="s">
        <v>84</v>
      </c>
      <c r="H19" s="9" t="s">
        <v>52</v>
      </c>
    </row>
    <row r="20" customFormat="false" ht="15" hidden="false" customHeight="false" outlineLevel="0" collapsed="false">
      <c r="A20" s="10" t="s">
        <v>92</v>
      </c>
      <c r="B20" s="9" t="s">
        <v>93</v>
      </c>
      <c r="C20" s="11" t="s">
        <v>124</v>
      </c>
      <c r="D20" s="4" t="s">
        <v>155</v>
      </c>
      <c r="E20" s="11" t="s">
        <v>121</v>
      </c>
      <c r="F20" s="11" t="s">
        <v>121</v>
      </c>
      <c r="G20" s="12" t="s">
        <v>84</v>
      </c>
      <c r="H20" s="9" t="s">
        <v>56</v>
      </c>
    </row>
    <row r="21" customFormat="false" ht="15" hidden="false" customHeight="false" outlineLevel="0" collapsed="false">
      <c r="A21" s="10" t="s">
        <v>92</v>
      </c>
      <c r="B21" s="9" t="s">
        <v>93</v>
      </c>
      <c r="C21" s="11" t="s">
        <v>156</v>
      </c>
      <c r="D21" s="4" t="s">
        <v>157</v>
      </c>
      <c r="E21" s="11" t="s">
        <v>121</v>
      </c>
      <c r="F21" s="11" t="s">
        <v>121</v>
      </c>
      <c r="G21" s="12" t="s">
        <v>84</v>
      </c>
      <c r="H21" s="9" t="s">
        <v>56</v>
      </c>
    </row>
    <row r="22" customFormat="false" ht="15" hidden="false" customHeight="false" outlineLevel="0" collapsed="false">
      <c r="A22" s="10" t="s">
        <v>92</v>
      </c>
      <c r="B22" s="9" t="s">
        <v>93</v>
      </c>
      <c r="C22" s="11" t="s">
        <v>158</v>
      </c>
      <c r="D22" s="4" t="s">
        <v>159</v>
      </c>
      <c r="E22" s="11" t="s">
        <v>121</v>
      </c>
      <c r="F22" s="11" t="s">
        <v>121</v>
      </c>
      <c r="G22" s="12" t="s">
        <v>84</v>
      </c>
      <c r="H22" s="9" t="s">
        <v>56</v>
      </c>
    </row>
    <row r="23" customFormat="false" ht="15" hidden="false" customHeight="false" outlineLevel="0" collapsed="false">
      <c r="A23" s="10" t="s">
        <v>92</v>
      </c>
      <c r="B23" s="9" t="s">
        <v>93</v>
      </c>
      <c r="C23" s="11" t="s">
        <v>147</v>
      </c>
      <c r="D23" s="4" t="s">
        <v>160</v>
      </c>
      <c r="E23" s="11" t="s">
        <v>161</v>
      </c>
      <c r="F23" s="11" t="s">
        <v>161</v>
      </c>
      <c r="G23" s="12" t="s">
        <v>84</v>
      </c>
      <c r="H23" s="9" t="s">
        <v>52</v>
      </c>
    </row>
    <row r="24" customFormat="false" ht="15" hidden="false" customHeight="false" outlineLevel="0" collapsed="false">
      <c r="A24" s="10" t="s">
        <v>92</v>
      </c>
      <c r="B24" s="9" t="s">
        <v>93</v>
      </c>
      <c r="C24" s="11" t="s">
        <v>150</v>
      </c>
      <c r="D24" s="4" t="s">
        <v>162</v>
      </c>
      <c r="E24" s="11" t="s">
        <v>161</v>
      </c>
      <c r="F24" s="11" t="s">
        <v>161</v>
      </c>
      <c r="G24" s="12" t="s">
        <v>84</v>
      </c>
      <c r="H24" s="9" t="s">
        <v>60</v>
      </c>
    </row>
    <row r="25" customFormat="false" ht="15" hidden="false" customHeight="false" outlineLevel="0" collapsed="false">
      <c r="A25" s="10" t="s">
        <v>92</v>
      </c>
      <c r="B25" s="9" t="s">
        <v>93</v>
      </c>
      <c r="C25" s="11" t="s">
        <v>163</v>
      </c>
      <c r="D25" s="4" t="s">
        <v>164</v>
      </c>
      <c r="E25" s="11" t="s">
        <v>121</v>
      </c>
      <c r="F25" s="11" t="s">
        <v>121</v>
      </c>
      <c r="G25" s="12" t="s">
        <v>84</v>
      </c>
      <c r="H25" s="9" t="s">
        <v>60</v>
      </c>
    </row>
    <row r="26" customFormat="false" ht="15" hidden="false" customHeight="false" outlineLevel="0" collapsed="false">
      <c r="A26" s="10" t="s">
        <v>92</v>
      </c>
      <c r="B26" s="9" t="s">
        <v>93</v>
      </c>
      <c r="C26" s="11" t="s">
        <v>165</v>
      </c>
      <c r="D26" s="4" t="s">
        <v>166</v>
      </c>
      <c r="E26" s="11" t="s">
        <v>121</v>
      </c>
      <c r="F26" s="11" t="s">
        <v>121</v>
      </c>
      <c r="G26" s="12" t="s">
        <v>84</v>
      </c>
      <c r="H26" s="9" t="s">
        <v>56</v>
      </c>
    </row>
    <row r="27" customFormat="false" ht="15" hidden="false" customHeight="false" outlineLevel="0" collapsed="false">
      <c r="A27" s="10" t="s">
        <v>92</v>
      </c>
      <c r="B27" s="9" t="s">
        <v>93</v>
      </c>
      <c r="C27" s="11" t="s">
        <v>167</v>
      </c>
      <c r="D27" s="4" t="s">
        <v>168</v>
      </c>
      <c r="E27" s="11" t="s">
        <v>154</v>
      </c>
      <c r="F27" s="11" t="s">
        <v>154</v>
      </c>
      <c r="G27" s="12" t="s">
        <v>84</v>
      </c>
      <c r="H27" s="9" t="s">
        <v>56</v>
      </c>
    </row>
    <row r="28" customFormat="false" ht="15" hidden="false" customHeight="false" outlineLevel="0" collapsed="false">
      <c r="A28" s="10" t="s">
        <v>96</v>
      </c>
      <c r="B28" s="9" t="s">
        <v>97</v>
      </c>
      <c r="C28" s="11" t="s">
        <v>119</v>
      </c>
      <c r="D28" s="4" t="s">
        <v>169</v>
      </c>
      <c r="E28" s="11" t="s">
        <v>154</v>
      </c>
      <c r="F28" s="11" t="s">
        <v>154</v>
      </c>
      <c r="G28" s="12" t="s">
        <v>84</v>
      </c>
      <c r="H28" s="9" t="s">
        <v>64</v>
      </c>
    </row>
    <row r="29" customFormat="false" ht="15" hidden="false" customHeight="false" outlineLevel="0" collapsed="false">
      <c r="A29" s="10" t="s">
        <v>96</v>
      </c>
      <c r="B29" s="9" t="s">
        <v>97</v>
      </c>
      <c r="C29" s="11" t="s">
        <v>119</v>
      </c>
      <c r="D29" s="4" t="s">
        <v>169</v>
      </c>
      <c r="E29" s="11" t="s">
        <v>161</v>
      </c>
      <c r="F29" s="11" t="s">
        <v>161</v>
      </c>
      <c r="G29" s="12" t="s">
        <v>84</v>
      </c>
      <c r="H29" s="9" t="s">
        <v>64</v>
      </c>
    </row>
    <row r="30" customFormat="false" ht="15" hidden="false" customHeight="false" outlineLevel="0" collapsed="false">
      <c r="A30" s="10" t="s">
        <v>96</v>
      </c>
      <c r="B30" s="9" t="s">
        <v>97</v>
      </c>
      <c r="C30" s="11" t="s">
        <v>119</v>
      </c>
      <c r="D30" s="4" t="s">
        <v>169</v>
      </c>
      <c r="E30" s="11" t="s">
        <v>127</v>
      </c>
      <c r="F30" s="11" t="s">
        <v>127</v>
      </c>
      <c r="G30" s="12" t="s">
        <v>84</v>
      </c>
      <c r="H30" s="9" t="s">
        <v>64</v>
      </c>
    </row>
    <row r="31" customFormat="false" ht="15" hidden="false" customHeight="false" outlineLevel="0" collapsed="false">
      <c r="A31" s="10" t="s">
        <v>96</v>
      </c>
      <c r="B31" s="9" t="s">
        <v>97</v>
      </c>
      <c r="C31" s="11" t="s">
        <v>119</v>
      </c>
      <c r="D31" s="4" t="s">
        <v>169</v>
      </c>
      <c r="E31" s="11" t="s">
        <v>170</v>
      </c>
      <c r="F31" s="11" t="s">
        <v>170</v>
      </c>
      <c r="G31" s="12" t="s">
        <v>84</v>
      </c>
      <c r="H31" s="9" t="s">
        <v>64</v>
      </c>
    </row>
    <row r="32" customFormat="false" ht="15" hidden="false" customHeight="false" outlineLevel="0" collapsed="false">
      <c r="A32" s="10" t="s">
        <v>96</v>
      </c>
      <c r="B32" s="9" t="s">
        <v>97</v>
      </c>
      <c r="C32" s="11" t="s">
        <v>119</v>
      </c>
      <c r="D32" s="4" t="s">
        <v>169</v>
      </c>
      <c r="E32" s="11" t="s">
        <v>171</v>
      </c>
      <c r="F32" s="11" t="s">
        <v>171</v>
      </c>
      <c r="G32" s="12" t="s">
        <v>84</v>
      </c>
      <c r="H32" s="9" t="s">
        <v>64</v>
      </c>
    </row>
    <row r="33" customFormat="false" ht="15" hidden="false" customHeight="false" outlineLevel="0" collapsed="false">
      <c r="A33" s="10" t="s">
        <v>96</v>
      </c>
      <c r="B33" s="9" t="s">
        <v>97</v>
      </c>
      <c r="C33" s="11" t="s">
        <v>119</v>
      </c>
      <c r="D33" s="4" t="s">
        <v>169</v>
      </c>
      <c r="E33" s="11" t="s">
        <v>172</v>
      </c>
      <c r="F33" s="11" t="s">
        <v>172</v>
      </c>
      <c r="G33" s="12" t="s">
        <v>84</v>
      </c>
      <c r="H33" s="9" t="s">
        <v>64</v>
      </c>
    </row>
    <row r="34" customFormat="false" ht="15" hidden="false" customHeight="false" outlineLevel="0" collapsed="false">
      <c r="A34" s="10" t="s">
        <v>96</v>
      </c>
      <c r="B34" s="9" t="s">
        <v>97</v>
      </c>
      <c r="C34" s="11" t="s">
        <v>119</v>
      </c>
      <c r="D34" s="4" t="s">
        <v>169</v>
      </c>
      <c r="E34" s="11" t="s">
        <v>173</v>
      </c>
      <c r="F34" s="11" t="s">
        <v>173</v>
      </c>
      <c r="G34" s="12" t="s">
        <v>84</v>
      </c>
      <c r="H34" s="9" t="s">
        <v>64</v>
      </c>
    </row>
    <row r="35" customFormat="false" ht="15" hidden="false" customHeight="false" outlineLevel="0" collapsed="false">
      <c r="A35" s="10" t="s">
        <v>96</v>
      </c>
      <c r="B35" s="9" t="s">
        <v>97</v>
      </c>
      <c r="C35" s="11" t="s">
        <v>119</v>
      </c>
      <c r="D35" s="4" t="s">
        <v>174</v>
      </c>
      <c r="E35" s="11" t="s">
        <v>175</v>
      </c>
      <c r="F35" s="11" t="s">
        <v>175</v>
      </c>
      <c r="G35" s="12" t="s">
        <v>84</v>
      </c>
      <c r="H35" s="9" t="s">
        <v>64</v>
      </c>
    </row>
    <row r="36" customFormat="false" ht="15" hidden="false" customHeight="false" outlineLevel="0" collapsed="false">
      <c r="A36" s="10" t="s">
        <v>96</v>
      </c>
      <c r="B36" s="9" t="s">
        <v>97</v>
      </c>
      <c r="C36" s="11" t="s">
        <v>122</v>
      </c>
      <c r="D36" s="4" t="s">
        <v>176</v>
      </c>
      <c r="E36" s="11" t="s">
        <v>171</v>
      </c>
      <c r="F36" s="11" t="s">
        <v>171</v>
      </c>
      <c r="G36" s="12" t="s">
        <v>84</v>
      </c>
      <c r="H36" s="9" t="s">
        <v>64</v>
      </c>
    </row>
    <row r="37" customFormat="false" ht="15" hidden="false" customHeight="false" outlineLevel="0" collapsed="false">
      <c r="A37" s="10" t="s">
        <v>96</v>
      </c>
      <c r="B37" s="9" t="s">
        <v>97</v>
      </c>
      <c r="C37" s="11" t="s">
        <v>124</v>
      </c>
      <c r="D37" s="4" t="s">
        <v>177</v>
      </c>
      <c r="E37" s="11" t="s">
        <v>171</v>
      </c>
      <c r="F37" s="11" t="s">
        <v>171</v>
      </c>
      <c r="G37" s="12" t="s">
        <v>84</v>
      </c>
      <c r="H37" s="9" t="s">
        <v>64</v>
      </c>
    </row>
    <row r="38" customFormat="false" ht="15" hidden="false" customHeight="false" outlineLevel="0" collapsed="false">
      <c r="A38" s="10" t="s">
        <v>96</v>
      </c>
      <c r="B38" s="9" t="s">
        <v>97</v>
      </c>
      <c r="C38" s="11" t="s">
        <v>156</v>
      </c>
      <c r="D38" s="4" t="s">
        <v>178</v>
      </c>
      <c r="E38" s="11" t="s">
        <v>171</v>
      </c>
      <c r="F38" s="11" t="s">
        <v>171</v>
      </c>
      <c r="G38" s="12" t="s">
        <v>84</v>
      </c>
      <c r="H38" s="9" t="s">
        <v>179</v>
      </c>
    </row>
    <row r="39" customFormat="false" ht="15" hidden="false" customHeight="false" outlineLevel="0" collapsed="false">
      <c r="A39" s="10" t="s">
        <v>96</v>
      </c>
      <c r="B39" s="9" t="s">
        <v>97</v>
      </c>
      <c r="C39" s="11" t="s">
        <v>141</v>
      </c>
      <c r="D39" s="4" t="s">
        <v>180</v>
      </c>
      <c r="E39" s="11" t="s">
        <v>171</v>
      </c>
      <c r="F39" s="11" t="s">
        <v>171</v>
      </c>
      <c r="G39" s="12" t="s">
        <v>84</v>
      </c>
      <c r="H39" s="9" t="s">
        <v>64</v>
      </c>
    </row>
    <row r="40" customFormat="false" ht="15" hidden="false" customHeight="false" outlineLevel="0" collapsed="false">
      <c r="A40" s="10" t="s">
        <v>96</v>
      </c>
      <c r="B40" s="9" t="s">
        <v>97</v>
      </c>
      <c r="C40" s="11" t="s">
        <v>143</v>
      </c>
      <c r="D40" s="4" t="s">
        <v>180</v>
      </c>
      <c r="E40" s="11" t="s">
        <v>171</v>
      </c>
      <c r="F40" s="11" t="s">
        <v>171</v>
      </c>
      <c r="G40" s="12" t="s">
        <v>84</v>
      </c>
      <c r="H40" s="9" t="s">
        <v>64</v>
      </c>
    </row>
    <row r="41" customFormat="false" ht="15" hidden="false" customHeight="false" outlineLevel="0" collapsed="false">
      <c r="A41" s="10" t="s">
        <v>96</v>
      </c>
      <c r="B41" s="9" t="s">
        <v>97</v>
      </c>
      <c r="C41" s="11" t="s">
        <v>147</v>
      </c>
      <c r="D41" s="4" t="s">
        <v>181</v>
      </c>
      <c r="E41" s="11" t="s">
        <v>172</v>
      </c>
      <c r="F41" s="11" t="s">
        <v>172</v>
      </c>
      <c r="G41" s="12" t="s">
        <v>84</v>
      </c>
      <c r="H41" s="9" t="s">
        <v>182</v>
      </c>
    </row>
    <row r="42" customFormat="false" ht="15" hidden="false" customHeight="false" outlineLevel="0" collapsed="false">
      <c r="A42" s="10" t="s">
        <v>100</v>
      </c>
      <c r="B42" s="9" t="s">
        <v>101</v>
      </c>
      <c r="C42" s="11" t="s">
        <v>119</v>
      </c>
      <c r="D42" s="4" t="s">
        <v>183</v>
      </c>
      <c r="E42" s="11" t="s">
        <v>175</v>
      </c>
      <c r="F42" s="11" t="s">
        <v>175</v>
      </c>
      <c r="G42" s="12" t="s">
        <v>84</v>
      </c>
      <c r="H42" s="9" t="s">
        <v>68</v>
      </c>
    </row>
    <row r="43" customFormat="false" ht="15" hidden="false" customHeight="false" outlineLevel="0" collapsed="false">
      <c r="A43" s="10" t="s">
        <v>100</v>
      </c>
      <c r="B43" s="9" t="s">
        <v>101</v>
      </c>
      <c r="C43" s="11" t="s">
        <v>122</v>
      </c>
      <c r="D43" s="4" t="s">
        <v>184</v>
      </c>
      <c r="E43" s="11" t="s">
        <v>175</v>
      </c>
      <c r="F43" s="11" t="s">
        <v>175</v>
      </c>
      <c r="G43" s="12" t="s">
        <v>84</v>
      </c>
      <c r="H43" s="9" t="s">
        <v>68</v>
      </c>
    </row>
    <row r="44" customFormat="false" ht="15" hidden="false" customHeight="false" outlineLevel="0" collapsed="false">
      <c r="A44" s="10" t="s">
        <v>100</v>
      </c>
      <c r="B44" s="9" t="s">
        <v>101</v>
      </c>
      <c r="C44" s="11" t="s">
        <v>124</v>
      </c>
      <c r="D44" s="4" t="s">
        <v>185</v>
      </c>
      <c r="E44" s="11" t="s">
        <v>175</v>
      </c>
      <c r="F44" s="11" t="s">
        <v>175</v>
      </c>
      <c r="G44" s="12" t="s">
        <v>84</v>
      </c>
      <c r="H44" s="9" t="s">
        <v>186</v>
      </c>
    </row>
    <row r="45" customFormat="false" ht="15" hidden="false" customHeight="false" outlineLevel="0" collapsed="false">
      <c r="A45" s="10" t="s">
        <v>100</v>
      </c>
      <c r="B45" s="9" t="s">
        <v>101</v>
      </c>
      <c r="C45" s="11" t="s">
        <v>156</v>
      </c>
      <c r="D45" s="4" t="s">
        <v>187</v>
      </c>
      <c r="E45" s="11" t="s">
        <v>175</v>
      </c>
      <c r="F45" s="11" t="s">
        <v>175</v>
      </c>
      <c r="G45" s="12" t="s">
        <v>84</v>
      </c>
      <c r="H45" s="9" t="s">
        <v>68</v>
      </c>
    </row>
    <row r="46" customFormat="false" ht="15" hidden="false" customHeight="false" outlineLevel="0" collapsed="false">
      <c r="A46" s="10" t="s">
        <v>100</v>
      </c>
      <c r="B46" s="9" t="s">
        <v>101</v>
      </c>
      <c r="C46" s="11" t="s">
        <v>158</v>
      </c>
      <c r="D46" s="4" t="s">
        <v>188</v>
      </c>
      <c r="E46" s="11" t="s">
        <v>189</v>
      </c>
      <c r="F46" s="11" t="s">
        <v>189</v>
      </c>
      <c r="G46" s="12" t="s">
        <v>84</v>
      </c>
      <c r="H46" s="9" t="s">
        <v>68</v>
      </c>
    </row>
    <row r="47" customFormat="false" ht="15" hidden="false" customHeight="false" outlineLevel="0" collapsed="false">
      <c r="A47" s="10" t="s">
        <v>100</v>
      </c>
      <c r="B47" s="9" t="s">
        <v>101</v>
      </c>
      <c r="C47" s="11" t="s">
        <v>147</v>
      </c>
      <c r="D47" s="4" t="s">
        <v>190</v>
      </c>
      <c r="E47" s="11" t="s">
        <v>161</v>
      </c>
      <c r="F47" s="11" t="s">
        <v>161</v>
      </c>
      <c r="G47" s="12" t="s">
        <v>84</v>
      </c>
      <c r="H47" s="9" t="s">
        <v>191</v>
      </c>
    </row>
    <row r="48" customFormat="false" ht="15" hidden="false" customHeight="false" outlineLevel="0" collapsed="false">
      <c r="A48" s="10" t="s">
        <v>100</v>
      </c>
      <c r="B48" s="9" t="s">
        <v>101</v>
      </c>
      <c r="C48" s="11" t="s">
        <v>150</v>
      </c>
      <c r="D48" s="4" t="s">
        <v>192</v>
      </c>
      <c r="E48" s="11" t="s">
        <v>175</v>
      </c>
      <c r="F48" s="11" t="s">
        <v>175</v>
      </c>
      <c r="G48" s="12" t="s">
        <v>84</v>
      </c>
      <c r="H48" s="9" t="s">
        <v>68</v>
      </c>
    </row>
    <row r="49" customFormat="false" ht="15" hidden="false" customHeight="false" outlineLevel="0" collapsed="false">
      <c r="A49" s="10" t="s">
        <v>100</v>
      </c>
      <c r="B49" s="9" t="s">
        <v>101</v>
      </c>
      <c r="C49" s="11" t="s">
        <v>163</v>
      </c>
      <c r="D49" s="4" t="s">
        <v>193</v>
      </c>
      <c r="E49" s="11" t="s">
        <v>121</v>
      </c>
      <c r="F49" s="11" t="s">
        <v>121</v>
      </c>
      <c r="G49" s="12" t="s">
        <v>84</v>
      </c>
      <c r="H49" s="9" t="s">
        <v>186</v>
      </c>
    </row>
    <row r="50" customFormat="false" ht="15" hidden="false" customHeight="false" outlineLevel="0" collapsed="false">
      <c r="A50" s="10" t="s">
        <v>77</v>
      </c>
      <c r="B50" s="9" t="s">
        <v>104</v>
      </c>
      <c r="C50" s="11" t="s">
        <v>119</v>
      </c>
      <c r="D50" s="4" t="s">
        <v>194</v>
      </c>
      <c r="E50" s="11" t="s">
        <v>154</v>
      </c>
      <c r="F50" s="11" t="s">
        <v>154</v>
      </c>
      <c r="G50" s="12" t="s">
        <v>84</v>
      </c>
      <c r="H50" s="9" t="s">
        <v>74</v>
      </c>
    </row>
    <row r="51" customFormat="false" ht="15" hidden="false" customHeight="false" outlineLevel="0" collapsed="false">
      <c r="A51" s="10" t="s">
        <v>77</v>
      </c>
      <c r="B51" s="9" t="s">
        <v>104</v>
      </c>
      <c r="C51" s="11" t="s">
        <v>122</v>
      </c>
      <c r="D51" s="4" t="s">
        <v>195</v>
      </c>
      <c r="E51" s="11" t="s">
        <v>154</v>
      </c>
      <c r="F51" s="11" t="s">
        <v>154</v>
      </c>
      <c r="G51" s="12" t="s">
        <v>84</v>
      </c>
      <c r="H51" s="9" t="s">
        <v>74</v>
      </c>
    </row>
    <row r="52" customFormat="false" ht="15" hidden="false" customHeight="false" outlineLevel="0" collapsed="false">
      <c r="A52" s="10" t="s">
        <v>77</v>
      </c>
      <c r="B52" s="9" t="s">
        <v>104</v>
      </c>
      <c r="C52" s="11" t="s">
        <v>124</v>
      </c>
      <c r="D52" s="4" t="s">
        <v>196</v>
      </c>
      <c r="E52" s="11" t="s">
        <v>154</v>
      </c>
      <c r="F52" s="11" t="s">
        <v>154</v>
      </c>
      <c r="G52" s="12" t="s">
        <v>84</v>
      </c>
      <c r="H52" s="9" t="s">
        <v>74</v>
      </c>
    </row>
    <row r="53" customFormat="false" ht="15" hidden="false" customHeight="false" outlineLevel="0" collapsed="false">
      <c r="A53" s="10" t="s">
        <v>77</v>
      </c>
      <c r="B53" s="9" t="s">
        <v>104</v>
      </c>
      <c r="C53" s="11" t="s">
        <v>135</v>
      </c>
      <c r="D53" s="4" t="s">
        <v>197</v>
      </c>
      <c r="E53" s="11" t="s">
        <v>175</v>
      </c>
      <c r="F53" s="11" t="s">
        <v>175</v>
      </c>
      <c r="G53" s="12" t="s">
        <v>84</v>
      </c>
      <c r="H53" s="9" t="s">
        <v>74</v>
      </c>
    </row>
    <row r="54" customFormat="false" ht="15" hidden="false" customHeight="false" outlineLevel="0" collapsed="false">
      <c r="A54" s="10" t="s">
        <v>77</v>
      </c>
      <c r="B54" s="9" t="s">
        <v>104</v>
      </c>
      <c r="C54" s="11" t="s">
        <v>137</v>
      </c>
      <c r="D54" s="4" t="s">
        <v>196</v>
      </c>
      <c r="E54" s="11" t="s">
        <v>175</v>
      </c>
      <c r="F54" s="11" t="s">
        <v>175</v>
      </c>
      <c r="G54" s="12" t="s">
        <v>84</v>
      </c>
      <c r="H54" s="9" t="s">
        <v>74</v>
      </c>
    </row>
    <row r="55" customFormat="false" ht="15" hidden="false" customHeight="false" outlineLevel="0" collapsed="false">
      <c r="A55" s="10" t="s">
        <v>77</v>
      </c>
      <c r="B55" s="9" t="s">
        <v>104</v>
      </c>
      <c r="C55" s="11" t="s">
        <v>158</v>
      </c>
      <c r="D55" s="4" t="s">
        <v>198</v>
      </c>
      <c r="E55" s="11" t="s">
        <v>121</v>
      </c>
      <c r="F55" s="11" t="s">
        <v>121</v>
      </c>
      <c r="G55" s="12" t="s">
        <v>84</v>
      </c>
      <c r="H55" s="9" t="s">
        <v>74</v>
      </c>
    </row>
    <row r="56" customFormat="false" ht="15" hidden="false" customHeight="false" outlineLevel="0" collapsed="false">
      <c r="A56" s="10" t="s">
        <v>77</v>
      </c>
      <c r="B56" s="9" t="s">
        <v>104</v>
      </c>
      <c r="C56" s="11" t="s">
        <v>147</v>
      </c>
      <c r="D56" s="4" t="s">
        <v>199</v>
      </c>
      <c r="E56" s="11" t="s">
        <v>200</v>
      </c>
      <c r="F56" s="11" t="s">
        <v>200</v>
      </c>
      <c r="G56" s="12" t="s">
        <v>84</v>
      </c>
      <c r="H56" s="9" t="s">
        <v>74</v>
      </c>
    </row>
    <row r="57" customFormat="false" ht="15" hidden="false" customHeight="false" outlineLevel="0" collapsed="false">
      <c r="A57" s="10" t="s">
        <v>106</v>
      </c>
      <c r="B57" s="9" t="s">
        <v>107</v>
      </c>
      <c r="C57" s="11" t="s">
        <v>201</v>
      </c>
      <c r="D57" s="4" t="s">
        <v>202</v>
      </c>
      <c r="E57" s="11" t="s">
        <v>171</v>
      </c>
      <c r="F57" s="11" t="s">
        <v>171</v>
      </c>
      <c r="G57" s="12" t="s">
        <v>84</v>
      </c>
      <c r="H57" s="9" t="s">
        <v>186</v>
      </c>
    </row>
    <row r="58" customFormat="false" ht="15" hidden="false" customHeight="false" outlineLevel="0" collapsed="false">
      <c r="A58" s="10" t="s">
        <v>106</v>
      </c>
      <c r="B58" s="9" t="s">
        <v>107</v>
      </c>
      <c r="C58" s="11" t="s">
        <v>203</v>
      </c>
      <c r="D58" s="4" t="s">
        <v>204</v>
      </c>
      <c r="E58" s="11" t="s">
        <v>121</v>
      </c>
      <c r="F58" s="11" t="s">
        <v>121</v>
      </c>
      <c r="G58" s="12" t="s">
        <v>84</v>
      </c>
      <c r="H58" s="9" t="s">
        <v>186</v>
      </c>
    </row>
    <row r="59" customFormat="false" ht="15" hidden="false" customHeight="false" outlineLevel="0" collapsed="false">
      <c r="A59" s="10" t="s">
        <v>106</v>
      </c>
      <c r="B59" s="9" t="s">
        <v>107</v>
      </c>
      <c r="C59" s="11" t="s">
        <v>203</v>
      </c>
      <c r="D59" s="4" t="s">
        <v>205</v>
      </c>
      <c r="E59" s="11" t="s">
        <v>171</v>
      </c>
      <c r="F59" s="11" t="s">
        <v>171</v>
      </c>
      <c r="G59" s="12" t="s">
        <v>84</v>
      </c>
      <c r="H59" s="9" t="s">
        <v>186</v>
      </c>
    </row>
    <row r="60" customFormat="false" ht="15" hidden="false" customHeight="false" outlineLevel="0" collapsed="false">
      <c r="A60" s="10" t="s">
        <v>106</v>
      </c>
      <c r="B60" s="9" t="s">
        <v>107</v>
      </c>
      <c r="C60" s="11" t="s">
        <v>203</v>
      </c>
      <c r="D60" s="4" t="s">
        <v>204</v>
      </c>
      <c r="E60" s="11" t="s">
        <v>121</v>
      </c>
      <c r="F60" s="11" t="s">
        <v>121</v>
      </c>
      <c r="G60" s="12" t="s">
        <v>84</v>
      </c>
      <c r="H60" s="9" t="s">
        <v>186</v>
      </c>
    </row>
    <row r="61" customFormat="false" ht="15" hidden="false" customHeight="false" outlineLevel="0" collapsed="false">
      <c r="A61" s="10" t="s">
        <v>106</v>
      </c>
      <c r="B61" s="9" t="s">
        <v>107</v>
      </c>
      <c r="C61" s="11" t="s">
        <v>203</v>
      </c>
      <c r="D61" s="4" t="s">
        <v>205</v>
      </c>
      <c r="E61" s="11" t="s">
        <v>171</v>
      </c>
      <c r="F61" s="11" t="s">
        <v>171</v>
      </c>
      <c r="G61" s="12" t="s">
        <v>84</v>
      </c>
      <c r="H61" s="9" t="s">
        <v>186</v>
      </c>
    </row>
    <row r="62" customFormat="false" ht="15" hidden="false" customHeight="false" outlineLevel="0" collapsed="false">
      <c r="A62" s="10" t="s">
        <v>106</v>
      </c>
      <c r="B62" s="9" t="s">
        <v>107</v>
      </c>
      <c r="C62" s="11" t="s">
        <v>203</v>
      </c>
      <c r="D62" s="4" t="s">
        <v>204</v>
      </c>
      <c r="E62" s="11" t="s">
        <v>121</v>
      </c>
      <c r="F62" s="11" t="s">
        <v>121</v>
      </c>
      <c r="G62" s="12" t="s">
        <v>84</v>
      </c>
      <c r="H62" s="9" t="s">
        <v>186</v>
      </c>
    </row>
    <row r="63" customFormat="false" ht="15" hidden="false" customHeight="false" outlineLevel="0" collapsed="false">
      <c r="A63" s="10" t="s">
        <v>106</v>
      </c>
      <c r="B63" s="9" t="s">
        <v>107</v>
      </c>
      <c r="C63" s="11" t="s">
        <v>203</v>
      </c>
      <c r="D63" s="4" t="s">
        <v>205</v>
      </c>
      <c r="E63" s="11" t="s">
        <v>171</v>
      </c>
      <c r="F63" s="11" t="s">
        <v>171</v>
      </c>
      <c r="G63" s="12" t="s">
        <v>84</v>
      </c>
      <c r="H63" s="9" t="s">
        <v>186</v>
      </c>
    </row>
    <row r="64" customFormat="false" ht="15" hidden="false" customHeight="false" outlineLevel="0" collapsed="false">
      <c r="A64" s="10" t="s">
        <v>106</v>
      </c>
      <c r="B64" s="9" t="s">
        <v>107</v>
      </c>
      <c r="C64" s="11" t="s">
        <v>203</v>
      </c>
      <c r="D64" s="4" t="s">
        <v>204</v>
      </c>
      <c r="E64" s="11" t="s">
        <v>121</v>
      </c>
      <c r="F64" s="11" t="s">
        <v>121</v>
      </c>
      <c r="G64" s="12" t="s">
        <v>84</v>
      </c>
      <c r="H64" s="9" t="s">
        <v>186</v>
      </c>
    </row>
    <row r="65" customFormat="false" ht="15" hidden="false" customHeight="false" outlineLevel="0" collapsed="false">
      <c r="A65" s="10" t="s">
        <v>106</v>
      </c>
      <c r="B65" s="9" t="s">
        <v>107</v>
      </c>
      <c r="C65" s="11" t="s">
        <v>203</v>
      </c>
      <c r="D65" s="4" t="s">
        <v>205</v>
      </c>
      <c r="E65" s="11" t="s">
        <v>171</v>
      </c>
      <c r="F65" s="11" t="s">
        <v>171</v>
      </c>
      <c r="G65" s="12" t="s">
        <v>84</v>
      </c>
      <c r="H65" s="9" t="s">
        <v>186</v>
      </c>
    </row>
    <row r="66" customFormat="false" ht="15" hidden="false" customHeight="false" outlineLevel="0" collapsed="false">
      <c r="A66" s="10" t="s">
        <v>106</v>
      </c>
      <c r="B66" s="9" t="s">
        <v>107</v>
      </c>
      <c r="C66" s="11" t="s">
        <v>203</v>
      </c>
      <c r="D66" s="4" t="s">
        <v>204</v>
      </c>
      <c r="E66" s="11" t="s">
        <v>121</v>
      </c>
      <c r="F66" s="11" t="s">
        <v>121</v>
      </c>
      <c r="G66" s="12" t="s">
        <v>84</v>
      </c>
      <c r="H66" s="9" t="s">
        <v>186</v>
      </c>
    </row>
    <row r="67" customFormat="false" ht="15" hidden="false" customHeight="false" outlineLevel="0" collapsed="false">
      <c r="A67" s="10" t="s">
        <v>106</v>
      </c>
      <c r="B67" s="9" t="s">
        <v>107</v>
      </c>
      <c r="C67" s="11" t="s">
        <v>203</v>
      </c>
      <c r="D67" s="4" t="s">
        <v>205</v>
      </c>
      <c r="E67" s="11" t="s">
        <v>171</v>
      </c>
      <c r="F67" s="11" t="s">
        <v>171</v>
      </c>
      <c r="G67" s="12" t="s">
        <v>84</v>
      </c>
      <c r="H67" s="9" t="s">
        <v>186</v>
      </c>
    </row>
    <row r="68" customFormat="false" ht="15" hidden="false" customHeight="false" outlineLevel="0" collapsed="false">
      <c r="A68" s="10" t="s">
        <v>106</v>
      </c>
      <c r="B68" s="9" t="s">
        <v>107</v>
      </c>
      <c r="C68" s="11" t="s">
        <v>203</v>
      </c>
      <c r="D68" s="4" t="s">
        <v>204</v>
      </c>
      <c r="E68" s="11" t="s">
        <v>121</v>
      </c>
      <c r="F68" s="11" t="s">
        <v>121</v>
      </c>
      <c r="G68" s="12" t="s">
        <v>84</v>
      </c>
      <c r="H68" s="9" t="s">
        <v>186</v>
      </c>
    </row>
    <row r="69" customFormat="false" ht="15" hidden="false" customHeight="false" outlineLevel="0" collapsed="false">
      <c r="A69" s="10" t="s">
        <v>106</v>
      </c>
      <c r="B69" s="9" t="s">
        <v>107</v>
      </c>
      <c r="C69" s="11" t="s">
        <v>203</v>
      </c>
      <c r="D69" s="4" t="s">
        <v>205</v>
      </c>
      <c r="E69" s="11" t="s">
        <v>171</v>
      </c>
      <c r="F69" s="11" t="s">
        <v>171</v>
      </c>
      <c r="G69" s="12" t="s">
        <v>84</v>
      </c>
      <c r="H69" s="9" t="s">
        <v>186</v>
      </c>
    </row>
    <row r="70" customFormat="false" ht="15" hidden="false" customHeight="false" outlineLevel="0" collapsed="false">
      <c r="A70" s="10" t="s">
        <v>106</v>
      </c>
      <c r="B70" s="9" t="s">
        <v>107</v>
      </c>
      <c r="C70" s="11" t="s">
        <v>203</v>
      </c>
      <c r="D70" s="4" t="s">
        <v>204</v>
      </c>
      <c r="E70" s="11" t="s">
        <v>121</v>
      </c>
      <c r="F70" s="11" t="s">
        <v>121</v>
      </c>
      <c r="G70" s="12" t="s">
        <v>84</v>
      </c>
      <c r="H70" s="9" t="s">
        <v>186</v>
      </c>
    </row>
    <row r="71" customFormat="false" ht="15" hidden="false" customHeight="false" outlineLevel="0" collapsed="false">
      <c r="A71" s="10" t="s">
        <v>106</v>
      </c>
      <c r="B71" s="9" t="s">
        <v>107</v>
      </c>
      <c r="C71" s="11" t="s">
        <v>203</v>
      </c>
      <c r="D71" s="4" t="s">
        <v>205</v>
      </c>
      <c r="E71" s="11" t="s">
        <v>171</v>
      </c>
      <c r="F71" s="11" t="s">
        <v>171</v>
      </c>
      <c r="G71" s="12" t="s">
        <v>84</v>
      </c>
      <c r="H71" s="9" t="s">
        <v>186</v>
      </c>
    </row>
    <row r="72" customFormat="false" ht="15" hidden="false" customHeight="false" outlineLevel="0" collapsed="false">
      <c r="A72" s="10" t="s">
        <v>106</v>
      </c>
      <c r="B72" s="9" t="s">
        <v>107</v>
      </c>
      <c r="C72" s="11" t="s">
        <v>203</v>
      </c>
      <c r="D72" s="4" t="s">
        <v>204</v>
      </c>
      <c r="E72" s="11" t="s">
        <v>121</v>
      </c>
      <c r="F72" s="11" t="s">
        <v>121</v>
      </c>
      <c r="G72" s="12" t="s">
        <v>84</v>
      </c>
      <c r="H72" s="9" t="s">
        <v>186</v>
      </c>
    </row>
    <row r="73" customFormat="false" ht="15" hidden="false" customHeight="false" outlineLevel="0" collapsed="false">
      <c r="A73" s="10" t="s">
        <v>106</v>
      </c>
      <c r="B73" s="9" t="s">
        <v>107</v>
      </c>
      <c r="C73" s="11" t="s">
        <v>203</v>
      </c>
      <c r="D73" s="4" t="s">
        <v>205</v>
      </c>
      <c r="E73" s="11" t="s">
        <v>171</v>
      </c>
      <c r="F73" s="11" t="s">
        <v>171</v>
      </c>
      <c r="G73" s="12" t="s">
        <v>84</v>
      </c>
      <c r="H73" s="9" t="s">
        <v>186</v>
      </c>
    </row>
    <row r="74" customFormat="false" ht="15" hidden="false" customHeight="false" outlineLevel="0" collapsed="false">
      <c r="A74" s="10" t="s">
        <v>106</v>
      </c>
      <c r="B74" s="9" t="s">
        <v>107</v>
      </c>
      <c r="C74" s="11" t="s">
        <v>203</v>
      </c>
      <c r="D74" s="4" t="s">
        <v>204</v>
      </c>
      <c r="E74" s="11" t="s">
        <v>121</v>
      </c>
      <c r="F74" s="11" t="s">
        <v>121</v>
      </c>
      <c r="G74" s="12" t="s">
        <v>84</v>
      </c>
      <c r="H74" s="9" t="s">
        <v>186</v>
      </c>
    </row>
    <row r="75" customFormat="false" ht="15" hidden="false" customHeight="false" outlineLevel="0" collapsed="false">
      <c r="A75" s="10" t="s">
        <v>106</v>
      </c>
      <c r="B75" s="9" t="s">
        <v>107</v>
      </c>
      <c r="C75" s="11" t="s">
        <v>203</v>
      </c>
      <c r="D75" s="4" t="s">
        <v>205</v>
      </c>
      <c r="E75" s="11" t="s">
        <v>171</v>
      </c>
      <c r="F75" s="11" t="s">
        <v>171</v>
      </c>
      <c r="G75" s="12" t="s">
        <v>84</v>
      </c>
      <c r="H75" s="9" t="s">
        <v>186</v>
      </c>
    </row>
    <row r="76" customFormat="false" ht="15" hidden="false" customHeight="false" outlineLevel="0" collapsed="false">
      <c r="A76" s="10" t="s">
        <v>106</v>
      </c>
      <c r="B76" s="9" t="s">
        <v>107</v>
      </c>
      <c r="C76" s="11" t="s">
        <v>203</v>
      </c>
      <c r="D76" s="4" t="s">
        <v>204</v>
      </c>
      <c r="E76" s="11" t="s">
        <v>121</v>
      </c>
      <c r="F76" s="11" t="s">
        <v>121</v>
      </c>
      <c r="G76" s="12" t="s">
        <v>84</v>
      </c>
      <c r="H76" s="9" t="s">
        <v>186</v>
      </c>
    </row>
    <row r="77" customFormat="false" ht="15" hidden="false" customHeight="false" outlineLevel="0" collapsed="false">
      <c r="A77" s="10" t="s">
        <v>106</v>
      </c>
      <c r="B77" s="9" t="s">
        <v>107</v>
      </c>
      <c r="C77" s="11" t="s">
        <v>203</v>
      </c>
      <c r="D77" s="4" t="s">
        <v>205</v>
      </c>
      <c r="E77" s="11" t="s">
        <v>171</v>
      </c>
      <c r="F77" s="11" t="s">
        <v>171</v>
      </c>
      <c r="G77" s="12" t="s">
        <v>84</v>
      </c>
      <c r="H77" s="9" t="s">
        <v>186</v>
      </c>
    </row>
    <row r="78" customFormat="false" ht="15" hidden="false" customHeight="false" outlineLevel="0" collapsed="false">
      <c r="A78" s="10" t="s">
        <v>106</v>
      </c>
      <c r="B78" s="9" t="s">
        <v>107</v>
      </c>
      <c r="C78" s="11" t="s">
        <v>203</v>
      </c>
      <c r="D78" s="4" t="s">
        <v>204</v>
      </c>
      <c r="E78" s="11" t="s">
        <v>121</v>
      </c>
      <c r="F78" s="11" t="s">
        <v>121</v>
      </c>
      <c r="G78" s="12" t="s">
        <v>84</v>
      </c>
      <c r="H78" s="9" t="s">
        <v>186</v>
      </c>
    </row>
    <row r="79" customFormat="false" ht="15" hidden="false" customHeight="false" outlineLevel="0" collapsed="false">
      <c r="A79" s="10" t="s">
        <v>106</v>
      </c>
      <c r="B79" s="9" t="s">
        <v>107</v>
      </c>
      <c r="C79" s="11" t="s">
        <v>203</v>
      </c>
      <c r="D79" s="4" t="s">
        <v>205</v>
      </c>
      <c r="E79" s="11" t="s">
        <v>171</v>
      </c>
      <c r="F79" s="11" t="s">
        <v>171</v>
      </c>
      <c r="G79" s="12" t="s">
        <v>84</v>
      </c>
      <c r="H79" s="9" t="s">
        <v>186</v>
      </c>
    </row>
    <row r="80" customFormat="false" ht="15" hidden="false" customHeight="false" outlineLevel="0" collapsed="false">
      <c r="A80" s="10" t="s">
        <v>106</v>
      </c>
      <c r="B80" s="9" t="s">
        <v>107</v>
      </c>
      <c r="C80" s="11" t="s">
        <v>203</v>
      </c>
      <c r="D80" s="4" t="s">
        <v>204</v>
      </c>
      <c r="E80" s="11" t="s">
        <v>121</v>
      </c>
      <c r="F80" s="11" t="s">
        <v>121</v>
      </c>
      <c r="G80" s="12" t="s">
        <v>84</v>
      </c>
      <c r="H80" s="9" t="s">
        <v>186</v>
      </c>
    </row>
    <row r="81" customFormat="false" ht="15" hidden="false" customHeight="false" outlineLevel="0" collapsed="false">
      <c r="A81" s="10" t="s">
        <v>106</v>
      </c>
      <c r="B81" s="9" t="s">
        <v>107</v>
      </c>
      <c r="C81" s="11" t="s">
        <v>203</v>
      </c>
      <c r="D81" s="4" t="s">
        <v>205</v>
      </c>
      <c r="E81" s="11" t="s">
        <v>171</v>
      </c>
      <c r="F81" s="11" t="s">
        <v>171</v>
      </c>
      <c r="G81" s="12" t="s">
        <v>84</v>
      </c>
      <c r="H81" s="9" t="s">
        <v>186</v>
      </c>
    </row>
    <row r="82" customFormat="false" ht="15" hidden="false" customHeight="false" outlineLevel="0" collapsed="false">
      <c r="A82" s="10" t="s">
        <v>106</v>
      </c>
      <c r="B82" s="9" t="s">
        <v>107</v>
      </c>
      <c r="C82" s="11" t="s">
        <v>203</v>
      </c>
      <c r="D82" s="4" t="s">
        <v>204</v>
      </c>
      <c r="E82" s="11" t="s">
        <v>121</v>
      </c>
      <c r="F82" s="11" t="s">
        <v>121</v>
      </c>
      <c r="G82" s="12" t="s">
        <v>84</v>
      </c>
      <c r="H82" s="9" t="s">
        <v>186</v>
      </c>
    </row>
    <row r="83" customFormat="false" ht="15" hidden="false" customHeight="false" outlineLevel="0" collapsed="false">
      <c r="A83" s="10" t="s">
        <v>106</v>
      </c>
      <c r="B83" s="9" t="s">
        <v>107</v>
      </c>
      <c r="C83" s="11" t="s">
        <v>203</v>
      </c>
      <c r="D83" s="4" t="s">
        <v>205</v>
      </c>
      <c r="E83" s="11" t="s">
        <v>171</v>
      </c>
      <c r="F83" s="11" t="s">
        <v>171</v>
      </c>
      <c r="G83" s="12" t="s">
        <v>84</v>
      </c>
      <c r="H83" s="9" t="s">
        <v>186</v>
      </c>
    </row>
    <row r="84" customFormat="false" ht="15" hidden="false" customHeight="false" outlineLevel="0" collapsed="false">
      <c r="A84" s="10" t="s">
        <v>106</v>
      </c>
      <c r="B84" s="9" t="s">
        <v>107</v>
      </c>
      <c r="C84" s="11" t="s">
        <v>203</v>
      </c>
      <c r="D84" s="4" t="s">
        <v>204</v>
      </c>
      <c r="E84" s="11" t="s">
        <v>121</v>
      </c>
      <c r="F84" s="11" t="s">
        <v>121</v>
      </c>
      <c r="G84" s="12" t="s">
        <v>84</v>
      </c>
      <c r="H84" s="9" t="s">
        <v>186</v>
      </c>
    </row>
    <row r="85" customFormat="false" ht="15" hidden="false" customHeight="false" outlineLevel="0" collapsed="false">
      <c r="A85" s="10" t="s">
        <v>106</v>
      </c>
      <c r="B85" s="9" t="s">
        <v>107</v>
      </c>
      <c r="C85" s="11" t="s">
        <v>203</v>
      </c>
      <c r="D85" s="4" t="s">
        <v>205</v>
      </c>
      <c r="E85" s="11" t="s">
        <v>171</v>
      </c>
      <c r="F85" s="11" t="s">
        <v>171</v>
      </c>
      <c r="G85" s="12" t="s">
        <v>84</v>
      </c>
      <c r="H85" s="9" t="s">
        <v>186</v>
      </c>
    </row>
    <row r="86" customFormat="false" ht="15" hidden="false" customHeight="false" outlineLevel="0" collapsed="false">
      <c r="A86" s="10" t="s">
        <v>106</v>
      </c>
      <c r="B86" s="9" t="s">
        <v>107</v>
      </c>
      <c r="C86" s="11" t="s">
        <v>203</v>
      </c>
      <c r="D86" s="4" t="s">
        <v>204</v>
      </c>
      <c r="E86" s="11" t="s">
        <v>121</v>
      </c>
      <c r="F86" s="11" t="s">
        <v>121</v>
      </c>
      <c r="G86" s="12" t="s">
        <v>84</v>
      </c>
      <c r="H86" s="9" t="s">
        <v>186</v>
      </c>
    </row>
    <row r="87" customFormat="false" ht="15" hidden="false" customHeight="false" outlineLevel="0" collapsed="false">
      <c r="A87" s="10" t="s">
        <v>106</v>
      </c>
      <c r="B87" s="9" t="s">
        <v>107</v>
      </c>
      <c r="C87" s="11" t="s">
        <v>203</v>
      </c>
      <c r="D87" s="4" t="s">
        <v>205</v>
      </c>
      <c r="E87" s="11" t="s">
        <v>171</v>
      </c>
      <c r="F87" s="11" t="s">
        <v>171</v>
      </c>
      <c r="G87" s="12" t="s">
        <v>84</v>
      </c>
      <c r="H87" s="9" t="s">
        <v>186</v>
      </c>
    </row>
    <row r="88" customFormat="false" ht="15" hidden="false" customHeight="false" outlineLevel="0" collapsed="false">
      <c r="A88" s="10" t="s">
        <v>106</v>
      </c>
      <c r="B88" s="9" t="s">
        <v>107</v>
      </c>
      <c r="C88" s="11" t="s">
        <v>203</v>
      </c>
      <c r="D88" s="4" t="s">
        <v>204</v>
      </c>
      <c r="E88" s="11" t="s">
        <v>121</v>
      </c>
      <c r="F88" s="11" t="s">
        <v>121</v>
      </c>
      <c r="G88" s="12" t="s">
        <v>84</v>
      </c>
      <c r="H88" s="9" t="s">
        <v>186</v>
      </c>
    </row>
    <row r="89" customFormat="false" ht="15" hidden="false" customHeight="false" outlineLevel="0" collapsed="false">
      <c r="A89" s="10" t="s">
        <v>106</v>
      </c>
      <c r="B89" s="9" t="s">
        <v>107</v>
      </c>
      <c r="C89" s="11" t="s">
        <v>203</v>
      </c>
      <c r="D89" s="4" t="s">
        <v>205</v>
      </c>
      <c r="E89" s="11" t="s">
        <v>171</v>
      </c>
      <c r="F89" s="11" t="s">
        <v>171</v>
      </c>
      <c r="G89" s="12" t="s">
        <v>84</v>
      </c>
      <c r="H89" s="9" t="s">
        <v>186</v>
      </c>
    </row>
    <row r="90" customFormat="false" ht="15" hidden="false" customHeight="false" outlineLevel="0" collapsed="false">
      <c r="A90" s="10" t="s">
        <v>106</v>
      </c>
      <c r="B90" s="9" t="s">
        <v>107</v>
      </c>
      <c r="C90" s="11" t="s">
        <v>203</v>
      </c>
      <c r="D90" s="4" t="s">
        <v>204</v>
      </c>
      <c r="E90" s="11" t="s">
        <v>121</v>
      </c>
      <c r="F90" s="11" t="s">
        <v>121</v>
      </c>
      <c r="G90" s="12" t="s">
        <v>84</v>
      </c>
      <c r="H90" s="9" t="s">
        <v>186</v>
      </c>
    </row>
    <row r="91" customFormat="false" ht="15" hidden="false" customHeight="false" outlineLevel="0" collapsed="false">
      <c r="A91" s="10" t="s">
        <v>106</v>
      </c>
      <c r="B91" s="9" t="s">
        <v>107</v>
      </c>
      <c r="C91" s="11" t="s">
        <v>203</v>
      </c>
      <c r="D91" s="4" t="s">
        <v>205</v>
      </c>
      <c r="E91" s="11" t="s">
        <v>171</v>
      </c>
      <c r="F91" s="11" t="s">
        <v>171</v>
      </c>
      <c r="G91" s="12" t="s">
        <v>84</v>
      </c>
      <c r="H91" s="9" t="s">
        <v>186</v>
      </c>
    </row>
    <row r="92" customFormat="false" ht="15" hidden="false" customHeight="false" outlineLevel="0" collapsed="false">
      <c r="A92" s="10" t="s">
        <v>106</v>
      </c>
      <c r="B92" s="9" t="s">
        <v>107</v>
      </c>
      <c r="C92" s="11" t="s">
        <v>203</v>
      </c>
      <c r="D92" s="4" t="s">
        <v>204</v>
      </c>
      <c r="E92" s="11" t="s">
        <v>121</v>
      </c>
      <c r="F92" s="11" t="s">
        <v>121</v>
      </c>
      <c r="G92" s="12" t="s">
        <v>84</v>
      </c>
      <c r="H92" s="9" t="s">
        <v>186</v>
      </c>
    </row>
    <row r="93" customFormat="false" ht="15" hidden="false" customHeight="false" outlineLevel="0" collapsed="false">
      <c r="A93" s="10" t="s">
        <v>106</v>
      </c>
      <c r="B93" s="9" t="s">
        <v>107</v>
      </c>
      <c r="C93" s="11" t="s">
        <v>203</v>
      </c>
      <c r="D93" s="4" t="s">
        <v>205</v>
      </c>
      <c r="E93" s="11" t="s">
        <v>171</v>
      </c>
      <c r="F93" s="11" t="s">
        <v>171</v>
      </c>
      <c r="G93" s="12" t="s">
        <v>84</v>
      </c>
      <c r="H93" s="9" t="s">
        <v>186</v>
      </c>
    </row>
    <row r="94" customFormat="false" ht="15" hidden="false" customHeight="false" outlineLevel="0" collapsed="false">
      <c r="A94" s="10" t="s">
        <v>106</v>
      </c>
      <c r="B94" s="9" t="s">
        <v>107</v>
      </c>
      <c r="C94" s="11" t="s">
        <v>203</v>
      </c>
      <c r="D94" s="4" t="s">
        <v>204</v>
      </c>
      <c r="E94" s="11" t="s">
        <v>121</v>
      </c>
      <c r="F94" s="11" t="s">
        <v>121</v>
      </c>
      <c r="G94" s="12" t="s">
        <v>84</v>
      </c>
      <c r="H94" s="9" t="s">
        <v>186</v>
      </c>
    </row>
    <row r="95" customFormat="false" ht="15" hidden="false" customHeight="false" outlineLevel="0" collapsed="false">
      <c r="A95" s="10" t="s">
        <v>106</v>
      </c>
      <c r="B95" s="9" t="s">
        <v>107</v>
      </c>
      <c r="C95" s="11" t="s">
        <v>203</v>
      </c>
      <c r="D95" s="4" t="s">
        <v>205</v>
      </c>
      <c r="E95" s="11" t="s">
        <v>171</v>
      </c>
      <c r="F95" s="11" t="s">
        <v>171</v>
      </c>
      <c r="G95" s="12" t="s">
        <v>84</v>
      </c>
      <c r="H95" s="9" t="s">
        <v>186</v>
      </c>
    </row>
    <row r="96" customFormat="false" ht="15" hidden="false" customHeight="false" outlineLevel="0" collapsed="false">
      <c r="A96" s="10" t="s">
        <v>106</v>
      </c>
      <c r="B96" s="9" t="s">
        <v>107</v>
      </c>
      <c r="C96" s="11" t="s">
        <v>203</v>
      </c>
      <c r="D96" s="4" t="s">
        <v>204</v>
      </c>
      <c r="E96" s="11" t="s">
        <v>121</v>
      </c>
      <c r="F96" s="11" t="s">
        <v>121</v>
      </c>
      <c r="G96" s="12" t="s">
        <v>84</v>
      </c>
      <c r="H96" s="9" t="s">
        <v>186</v>
      </c>
    </row>
    <row r="97" customFormat="false" ht="15" hidden="false" customHeight="false" outlineLevel="0" collapsed="false">
      <c r="A97" s="10" t="s">
        <v>106</v>
      </c>
      <c r="B97" s="9" t="s">
        <v>107</v>
      </c>
      <c r="C97" s="11" t="s">
        <v>203</v>
      </c>
      <c r="D97" s="4" t="s">
        <v>205</v>
      </c>
      <c r="E97" s="11" t="s">
        <v>171</v>
      </c>
      <c r="F97" s="11" t="s">
        <v>171</v>
      </c>
      <c r="G97" s="12" t="s">
        <v>84</v>
      </c>
      <c r="H97" s="9" t="s">
        <v>186</v>
      </c>
    </row>
    <row r="98" customFormat="false" ht="15" hidden="false" customHeight="false" outlineLevel="0" collapsed="false">
      <c r="A98" s="10" t="s">
        <v>106</v>
      </c>
      <c r="B98" s="9" t="s">
        <v>107</v>
      </c>
      <c r="C98" s="11" t="s">
        <v>203</v>
      </c>
      <c r="D98" s="4" t="s">
        <v>204</v>
      </c>
      <c r="E98" s="11" t="s">
        <v>121</v>
      </c>
      <c r="F98" s="11" t="s">
        <v>121</v>
      </c>
      <c r="G98" s="12" t="s">
        <v>84</v>
      </c>
      <c r="H98" s="9" t="s">
        <v>186</v>
      </c>
    </row>
    <row r="99" customFormat="false" ht="15" hidden="false" customHeight="false" outlineLevel="0" collapsed="false">
      <c r="A99" s="10" t="s">
        <v>106</v>
      </c>
      <c r="B99" s="9" t="s">
        <v>107</v>
      </c>
      <c r="C99" s="11" t="s">
        <v>203</v>
      </c>
      <c r="D99" s="4" t="s">
        <v>205</v>
      </c>
      <c r="E99" s="11" t="s">
        <v>171</v>
      </c>
      <c r="F99" s="11" t="s">
        <v>171</v>
      </c>
      <c r="G99" s="12" t="s">
        <v>84</v>
      </c>
      <c r="H99" s="9" t="s">
        <v>186</v>
      </c>
    </row>
    <row r="100" customFormat="false" ht="15" hidden="false" customHeight="false" outlineLevel="0" collapsed="false">
      <c r="A100" s="10" t="s">
        <v>106</v>
      </c>
      <c r="B100" s="9" t="s">
        <v>107</v>
      </c>
      <c r="C100" s="11" t="s">
        <v>203</v>
      </c>
      <c r="D100" s="4" t="s">
        <v>204</v>
      </c>
      <c r="E100" s="11" t="s">
        <v>121</v>
      </c>
      <c r="F100" s="11" t="s">
        <v>121</v>
      </c>
      <c r="G100" s="12" t="s">
        <v>84</v>
      </c>
      <c r="H100" s="9" t="s">
        <v>186</v>
      </c>
    </row>
    <row r="101" customFormat="false" ht="15" hidden="false" customHeight="false" outlineLevel="0" collapsed="false">
      <c r="A101" s="10" t="s">
        <v>106</v>
      </c>
      <c r="B101" s="9" t="s">
        <v>107</v>
      </c>
      <c r="C101" s="11" t="s">
        <v>203</v>
      </c>
      <c r="D101" s="4" t="s">
        <v>205</v>
      </c>
      <c r="E101" s="11" t="s">
        <v>171</v>
      </c>
      <c r="F101" s="11" t="s">
        <v>171</v>
      </c>
      <c r="G101" s="12" t="s">
        <v>84</v>
      </c>
      <c r="H101" s="9" t="s">
        <v>186</v>
      </c>
    </row>
    <row r="102" customFormat="false" ht="15" hidden="false" customHeight="false" outlineLevel="0" collapsed="false">
      <c r="A102" s="10" t="s">
        <v>106</v>
      </c>
      <c r="B102" s="9" t="s">
        <v>107</v>
      </c>
      <c r="C102" s="11" t="s">
        <v>203</v>
      </c>
      <c r="D102" s="4" t="s">
        <v>204</v>
      </c>
      <c r="E102" s="11" t="s">
        <v>121</v>
      </c>
      <c r="F102" s="11" t="s">
        <v>121</v>
      </c>
      <c r="G102" s="12" t="s">
        <v>84</v>
      </c>
      <c r="H102" s="9" t="s">
        <v>186</v>
      </c>
    </row>
    <row r="103" customFormat="false" ht="15" hidden="false" customHeight="false" outlineLevel="0" collapsed="false">
      <c r="A103" s="10" t="s">
        <v>106</v>
      </c>
      <c r="B103" s="9" t="s">
        <v>107</v>
      </c>
      <c r="C103" s="11" t="s">
        <v>203</v>
      </c>
      <c r="D103" s="4" t="s">
        <v>205</v>
      </c>
      <c r="E103" s="11" t="s">
        <v>171</v>
      </c>
      <c r="F103" s="11" t="s">
        <v>171</v>
      </c>
      <c r="G103" s="12" t="s">
        <v>84</v>
      </c>
      <c r="H103" s="9" t="s">
        <v>186</v>
      </c>
    </row>
    <row r="104" customFormat="false" ht="15" hidden="false" customHeight="false" outlineLevel="0" collapsed="false">
      <c r="A104" s="10" t="s">
        <v>106</v>
      </c>
      <c r="B104" s="9" t="s">
        <v>107</v>
      </c>
      <c r="C104" s="11" t="s">
        <v>203</v>
      </c>
      <c r="D104" s="4" t="s">
        <v>204</v>
      </c>
      <c r="E104" s="11" t="s">
        <v>121</v>
      </c>
      <c r="F104" s="11" t="s">
        <v>121</v>
      </c>
      <c r="G104" s="12" t="s">
        <v>84</v>
      </c>
      <c r="H104" s="9" t="s">
        <v>186</v>
      </c>
    </row>
    <row r="105" customFormat="false" ht="15" hidden="false" customHeight="false" outlineLevel="0" collapsed="false">
      <c r="A105" s="10" t="s">
        <v>106</v>
      </c>
      <c r="B105" s="9" t="s">
        <v>107</v>
      </c>
      <c r="C105" s="11" t="s">
        <v>203</v>
      </c>
      <c r="D105" s="4" t="s">
        <v>205</v>
      </c>
      <c r="E105" s="11" t="s">
        <v>171</v>
      </c>
      <c r="F105" s="11" t="s">
        <v>171</v>
      </c>
      <c r="G105" s="12" t="s">
        <v>84</v>
      </c>
      <c r="H105" s="9" t="s">
        <v>186</v>
      </c>
    </row>
    <row r="106" customFormat="false" ht="15" hidden="false" customHeight="false" outlineLevel="0" collapsed="false">
      <c r="A106" s="10" t="s">
        <v>106</v>
      </c>
      <c r="B106" s="9" t="s">
        <v>107</v>
      </c>
      <c r="C106" s="11" t="s">
        <v>203</v>
      </c>
      <c r="D106" s="4" t="s">
        <v>204</v>
      </c>
      <c r="E106" s="11" t="s">
        <v>121</v>
      </c>
      <c r="F106" s="11" t="s">
        <v>121</v>
      </c>
      <c r="G106" s="12" t="s">
        <v>84</v>
      </c>
      <c r="H106" s="9" t="s">
        <v>186</v>
      </c>
    </row>
    <row r="107" customFormat="false" ht="15" hidden="false" customHeight="false" outlineLevel="0" collapsed="false">
      <c r="A107" s="10" t="s">
        <v>106</v>
      </c>
      <c r="B107" s="9" t="s">
        <v>107</v>
      </c>
      <c r="C107" s="11" t="s">
        <v>203</v>
      </c>
      <c r="D107" s="4" t="s">
        <v>205</v>
      </c>
      <c r="E107" s="11" t="s">
        <v>171</v>
      </c>
      <c r="F107" s="11" t="s">
        <v>171</v>
      </c>
      <c r="G107" s="12" t="s">
        <v>84</v>
      </c>
      <c r="H107" s="9" t="s">
        <v>186</v>
      </c>
    </row>
    <row r="108" customFormat="false" ht="15" hidden="false" customHeight="false" outlineLevel="0" collapsed="false">
      <c r="A108" s="10" t="s">
        <v>106</v>
      </c>
      <c r="B108" s="9" t="s">
        <v>107</v>
      </c>
      <c r="C108" s="11" t="s">
        <v>203</v>
      </c>
      <c r="D108" s="4" t="s">
        <v>204</v>
      </c>
      <c r="E108" s="11" t="s">
        <v>121</v>
      </c>
      <c r="F108" s="11" t="s">
        <v>121</v>
      </c>
      <c r="G108" s="12" t="s">
        <v>84</v>
      </c>
      <c r="H108" s="9" t="s">
        <v>186</v>
      </c>
    </row>
    <row r="109" customFormat="false" ht="15" hidden="false" customHeight="false" outlineLevel="0" collapsed="false">
      <c r="A109" s="10" t="s">
        <v>106</v>
      </c>
      <c r="B109" s="9" t="s">
        <v>107</v>
      </c>
      <c r="C109" s="11" t="s">
        <v>203</v>
      </c>
      <c r="D109" s="4" t="s">
        <v>205</v>
      </c>
      <c r="E109" s="11" t="s">
        <v>171</v>
      </c>
      <c r="F109" s="11" t="s">
        <v>171</v>
      </c>
      <c r="G109" s="12" t="s">
        <v>84</v>
      </c>
      <c r="H109" s="9" t="s">
        <v>186</v>
      </c>
    </row>
    <row r="110" customFormat="false" ht="15" hidden="false" customHeight="false" outlineLevel="0" collapsed="false">
      <c r="A110" s="10" t="s">
        <v>106</v>
      </c>
      <c r="B110" s="9" t="s">
        <v>107</v>
      </c>
      <c r="C110" s="11" t="s">
        <v>203</v>
      </c>
      <c r="D110" s="4" t="s">
        <v>204</v>
      </c>
      <c r="E110" s="11" t="s">
        <v>121</v>
      </c>
      <c r="F110" s="11" t="s">
        <v>121</v>
      </c>
      <c r="G110" s="12" t="s">
        <v>84</v>
      </c>
      <c r="H110" s="9" t="s">
        <v>186</v>
      </c>
    </row>
    <row r="111" customFormat="false" ht="15" hidden="false" customHeight="false" outlineLevel="0" collapsed="false">
      <c r="A111" s="10" t="s">
        <v>106</v>
      </c>
      <c r="B111" s="9" t="s">
        <v>107</v>
      </c>
      <c r="C111" s="11" t="s">
        <v>203</v>
      </c>
      <c r="D111" s="4" t="s">
        <v>205</v>
      </c>
      <c r="E111" s="11" t="s">
        <v>171</v>
      </c>
      <c r="F111" s="11" t="s">
        <v>171</v>
      </c>
      <c r="G111" s="12" t="s">
        <v>84</v>
      </c>
      <c r="H111" s="9" t="s">
        <v>186</v>
      </c>
    </row>
    <row r="112" customFormat="false" ht="15" hidden="false" customHeight="false" outlineLevel="0" collapsed="false">
      <c r="A112" s="10" t="s">
        <v>106</v>
      </c>
      <c r="B112" s="9" t="s">
        <v>107</v>
      </c>
      <c r="C112" s="11" t="s">
        <v>203</v>
      </c>
      <c r="D112" s="4" t="s">
        <v>204</v>
      </c>
      <c r="E112" s="11" t="s">
        <v>121</v>
      </c>
      <c r="F112" s="11" t="s">
        <v>121</v>
      </c>
      <c r="G112" s="12" t="s">
        <v>84</v>
      </c>
      <c r="H112" s="9" t="s">
        <v>186</v>
      </c>
    </row>
    <row r="113" customFormat="false" ht="15" hidden="false" customHeight="false" outlineLevel="0" collapsed="false">
      <c r="A113" s="10" t="s">
        <v>106</v>
      </c>
      <c r="B113" s="9" t="s">
        <v>107</v>
      </c>
      <c r="C113" s="11" t="s">
        <v>203</v>
      </c>
      <c r="D113" s="4" t="s">
        <v>205</v>
      </c>
      <c r="E113" s="11" t="s">
        <v>171</v>
      </c>
      <c r="F113" s="11" t="s">
        <v>171</v>
      </c>
      <c r="G113" s="12" t="s">
        <v>84</v>
      </c>
      <c r="H113" s="9" t="s">
        <v>186</v>
      </c>
    </row>
    <row r="114" customFormat="false" ht="15" hidden="false" customHeight="false" outlineLevel="0" collapsed="false">
      <c r="A114" s="10" t="s">
        <v>106</v>
      </c>
      <c r="B114" s="9" t="s">
        <v>107</v>
      </c>
      <c r="C114" s="11" t="s">
        <v>203</v>
      </c>
      <c r="D114" s="4" t="s">
        <v>204</v>
      </c>
      <c r="E114" s="11" t="s">
        <v>121</v>
      </c>
      <c r="F114" s="11" t="s">
        <v>121</v>
      </c>
      <c r="G114" s="12" t="s">
        <v>84</v>
      </c>
      <c r="H114" s="9" t="s">
        <v>186</v>
      </c>
    </row>
    <row r="115" customFormat="false" ht="15" hidden="false" customHeight="false" outlineLevel="0" collapsed="false">
      <c r="A115" s="10" t="s">
        <v>106</v>
      </c>
      <c r="B115" s="9" t="s">
        <v>107</v>
      </c>
      <c r="C115" s="11" t="s">
        <v>203</v>
      </c>
      <c r="D115" s="4" t="s">
        <v>205</v>
      </c>
      <c r="E115" s="11" t="s">
        <v>171</v>
      </c>
      <c r="F115" s="11" t="s">
        <v>171</v>
      </c>
      <c r="G115" s="12" t="s">
        <v>84</v>
      </c>
      <c r="H115" s="9" t="s">
        <v>186</v>
      </c>
    </row>
    <row r="116" customFormat="false" ht="15" hidden="false" customHeight="false" outlineLevel="0" collapsed="false">
      <c r="A116" s="10" t="s">
        <v>106</v>
      </c>
      <c r="B116" s="9" t="s">
        <v>107</v>
      </c>
      <c r="C116" s="11" t="s">
        <v>203</v>
      </c>
      <c r="D116" s="4" t="s">
        <v>204</v>
      </c>
      <c r="E116" s="11" t="s">
        <v>121</v>
      </c>
      <c r="F116" s="11" t="s">
        <v>121</v>
      </c>
      <c r="G116" s="12" t="s">
        <v>84</v>
      </c>
      <c r="H116" s="9" t="s">
        <v>186</v>
      </c>
    </row>
    <row r="117" customFormat="false" ht="15" hidden="false" customHeight="false" outlineLevel="0" collapsed="false">
      <c r="A117" s="10" t="s">
        <v>106</v>
      </c>
      <c r="B117" s="9" t="s">
        <v>107</v>
      </c>
      <c r="C117" s="11" t="s">
        <v>203</v>
      </c>
      <c r="D117" s="4" t="s">
        <v>205</v>
      </c>
      <c r="E117" s="11" t="s">
        <v>171</v>
      </c>
      <c r="F117" s="11" t="s">
        <v>171</v>
      </c>
      <c r="G117" s="12" t="s">
        <v>84</v>
      </c>
      <c r="H117" s="9" t="s">
        <v>186</v>
      </c>
    </row>
    <row r="118" customFormat="false" ht="15" hidden="false" customHeight="false" outlineLevel="0" collapsed="false">
      <c r="A118" s="10" t="s">
        <v>106</v>
      </c>
      <c r="B118" s="9" t="s">
        <v>107</v>
      </c>
      <c r="C118" s="11" t="s">
        <v>206</v>
      </c>
      <c r="D118" s="4" t="s">
        <v>207</v>
      </c>
      <c r="E118" s="11" t="s">
        <v>175</v>
      </c>
      <c r="F118" s="11" t="s">
        <v>175</v>
      </c>
      <c r="G118" s="12" t="s">
        <v>84</v>
      </c>
      <c r="H118" s="9" t="s">
        <v>186</v>
      </c>
    </row>
    <row r="119" customFormat="false" ht="15" hidden="false" customHeight="false" outlineLevel="0" collapsed="false">
      <c r="A119" s="10" t="s">
        <v>106</v>
      </c>
      <c r="B119" s="9" t="s">
        <v>107</v>
      </c>
      <c r="C119" s="11" t="s">
        <v>208</v>
      </c>
      <c r="D119" s="4" t="s">
        <v>209</v>
      </c>
      <c r="E119" s="11" t="s">
        <v>175</v>
      </c>
      <c r="F119" s="11" t="s">
        <v>175</v>
      </c>
      <c r="G119" s="12" t="s">
        <v>84</v>
      </c>
      <c r="H119" s="9" t="s">
        <v>186</v>
      </c>
    </row>
    <row r="120" customFormat="false" ht="15" hidden="false" customHeight="false" outlineLevel="0" collapsed="false">
      <c r="A120" s="10" t="s">
        <v>106</v>
      </c>
      <c r="B120" s="9" t="s">
        <v>107</v>
      </c>
      <c r="C120" s="11" t="s">
        <v>208</v>
      </c>
      <c r="D120" s="4" t="s">
        <v>209</v>
      </c>
      <c r="E120" s="11" t="s">
        <v>175</v>
      </c>
      <c r="F120" s="11" t="s">
        <v>175</v>
      </c>
      <c r="G120" s="12" t="s">
        <v>84</v>
      </c>
      <c r="H120" s="9" t="s">
        <v>186</v>
      </c>
    </row>
    <row r="121" customFormat="false" ht="15" hidden="false" customHeight="false" outlineLevel="0" collapsed="false">
      <c r="A121" s="10" t="s">
        <v>106</v>
      </c>
      <c r="B121" s="9" t="s">
        <v>107</v>
      </c>
      <c r="C121" s="11" t="s">
        <v>208</v>
      </c>
      <c r="D121" s="4" t="s">
        <v>209</v>
      </c>
      <c r="E121" s="11" t="s">
        <v>175</v>
      </c>
      <c r="F121" s="11" t="s">
        <v>175</v>
      </c>
      <c r="G121" s="12" t="s">
        <v>84</v>
      </c>
      <c r="H121" s="9" t="s">
        <v>186</v>
      </c>
    </row>
    <row r="122" customFormat="false" ht="15" hidden="false" customHeight="false" outlineLevel="0" collapsed="false">
      <c r="A122" s="10" t="s">
        <v>106</v>
      </c>
      <c r="B122" s="9" t="s">
        <v>107</v>
      </c>
      <c r="C122" s="11" t="s">
        <v>208</v>
      </c>
      <c r="D122" s="4" t="s">
        <v>209</v>
      </c>
      <c r="E122" s="11" t="s">
        <v>175</v>
      </c>
      <c r="F122" s="11" t="s">
        <v>175</v>
      </c>
      <c r="G122" s="12" t="s">
        <v>84</v>
      </c>
      <c r="H122" s="9" t="s">
        <v>186</v>
      </c>
    </row>
    <row r="123" customFormat="false" ht="15" hidden="false" customHeight="false" outlineLevel="0" collapsed="false">
      <c r="A123" s="10" t="s">
        <v>106</v>
      </c>
      <c r="B123" s="9" t="s">
        <v>107</v>
      </c>
      <c r="C123" s="11" t="s">
        <v>208</v>
      </c>
      <c r="D123" s="4" t="s">
        <v>209</v>
      </c>
      <c r="E123" s="11" t="s">
        <v>175</v>
      </c>
      <c r="F123" s="11" t="s">
        <v>175</v>
      </c>
      <c r="G123" s="12" t="s">
        <v>84</v>
      </c>
      <c r="H123" s="9" t="s">
        <v>186</v>
      </c>
    </row>
    <row r="124" customFormat="false" ht="15" hidden="false" customHeight="false" outlineLevel="0" collapsed="false">
      <c r="A124" s="10" t="s">
        <v>106</v>
      </c>
      <c r="B124" s="9" t="s">
        <v>107</v>
      </c>
      <c r="C124" s="11" t="s">
        <v>208</v>
      </c>
      <c r="D124" s="4" t="s">
        <v>209</v>
      </c>
      <c r="E124" s="11" t="s">
        <v>175</v>
      </c>
      <c r="F124" s="11" t="s">
        <v>175</v>
      </c>
      <c r="G124" s="12" t="s">
        <v>84</v>
      </c>
      <c r="H124" s="9" t="s">
        <v>186</v>
      </c>
    </row>
    <row r="125" customFormat="false" ht="15" hidden="false" customHeight="false" outlineLevel="0" collapsed="false">
      <c r="A125" s="10" t="s">
        <v>106</v>
      </c>
      <c r="B125" s="9" t="s">
        <v>107</v>
      </c>
      <c r="C125" s="11" t="s">
        <v>208</v>
      </c>
      <c r="D125" s="4" t="s">
        <v>209</v>
      </c>
      <c r="E125" s="11" t="s">
        <v>175</v>
      </c>
      <c r="F125" s="11" t="s">
        <v>175</v>
      </c>
      <c r="G125" s="12" t="s">
        <v>84</v>
      </c>
      <c r="H125" s="9" t="s">
        <v>186</v>
      </c>
    </row>
    <row r="126" customFormat="false" ht="15" hidden="false" customHeight="false" outlineLevel="0" collapsed="false">
      <c r="A126" s="10" t="s">
        <v>106</v>
      </c>
      <c r="B126" s="9" t="s">
        <v>107</v>
      </c>
      <c r="C126" s="11" t="s">
        <v>208</v>
      </c>
      <c r="D126" s="4" t="s">
        <v>209</v>
      </c>
      <c r="E126" s="11" t="s">
        <v>175</v>
      </c>
      <c r="F126" s="11" t="s">
        <v>175</v>
      </c>
      <c r="G126" s="12" t="s">
        <v>84</v>
      </c>
      <c r="H126" s="9" t="s">
        <v>186</v>
      </c>
    </row>
    <row r="127" customFormat="false" ht="15" hidden="false" customHeight="false" outlineLevel="0" collapsed="false">
      <c r="A127" s="10" t="s">
        <v>106</v>
      </c>
      <c r="B127" s="9" t="s">
        <v>107</v>
      </c>
      <c r="C127" s="11" t="s">
        <v>208</v>
      </c>
      <c r="D127" s="4" t="s">
        <v>209</v>
      </c>
      <c r="E127" s="11" t="s">
        <v>175</v>
      </c>
      <c r="F127" s="11" t="s">
        <v>175</v>
      </c>
      <c r="G127" s="12" t="s">
        <v>84</v>
      </c>
      <c r="H127" s="9" t="s">
        <v>186</v>
      </c>
    </row>
    <row r="128" customFormat="false" ht="15" hidden="false" customHeight="false" outlineLevel="0" collapsed="false">
      <c r="A128" s="10" t="s">
        <v>106</v>
      </c>
      <c r="B128" s="9" t="s">
        <v>107</v>
      </c>
      <c r="C128" s="11" t="s">
        <v>208</v>
      </c>
      <c r="D128" s="4" t="s">
        <v>209</v>
      </c>
      <c r="E128" s="11" t="s">
        <v>175</v>
      </c>
      <c r="F128" s="11" t="s">
        <v>175</v>
      </c>
      <c r="G128" s="12" t="s">
        <v>84</v>
      </c>
      <c r="H128" s="9" t="s">
        <v>186</v>
      </c>
    </row>
    <row r="129" customFormat="false" ht="15" hidden="false" customHeight="false" outlineLevel="0" collapsed="false">
      <c r="A129" s="10" t="s">
        <v>106</v>
      </c>
      <c r="B129" s="9" t="s">
        <v>107</v>
      </c>
      <c r="C129" s="11" t="s">
        <v>208</v>
      </c>
      <c r="D129" s="4" t="s">
        <v>209</v>
      </c>
      <c r="E129" s="11" t="s">
        <v>175</v>
      </c>
      <c r="F129" s="11" t="s">
        <v>175</v>
      </c>
      <c r="G129" s="12" t="s">
        <v>84</v>
      </c>
      <c r="H129" s="9" t="s">
        <v>186</v>
      </c>
    </row>
    <row r="130" customFormat="false" ht="15" hidden="false" customHeight="false" outlineLevel="0" collapsed="false">
      <c r="A130" s="10" t="s">
        <v>106</v>
      </c>
      <c r="B130" s="9" t="s">
        <v>107</v>
      </c>
      <c r="C130" s="11" t="s">
        <v>208</v>
      </c>
      <c r="D130" s="4" t="s">
        <v>209</v>
      </c>
      <c r="E130" s="11" t="s">
        <v>175</v>
      </c>
      <c r="F130" s="11" t="s">
        <v>175</v>
      </c>
      <c r="G130" s="12" t="s">
        <v>84</v>
      </c>
      <c r="H130" s="9" t="s">
        <v>186</v>
      </c>
    </row>
    <row r="131" customFormat="false" ht="15" hidden="false" customHeight="false" outlineLevel="0" collapsed="false">
      <c r="A131" s="10" t="s">
        <v>106</v>
      </c>
      <c r="B131" s="9" t="s">
        <v>107</v>
      </c>
      <c r="C131" s="11" t="s">
        <v>208</v>
      </c>
      <c r="D131" s="4" t="s">
        <v>209</v>
      </c>
      <c r="E131" s="11" t="s">
        <v>175</v>
      </c>
      <c r="F131" s="11" t="s">
        <v>175</v>
      </c>
      <c r="G131" s="12" t="s">
        <v>84</v>
      </c>
      <c r="H131" s="9" t="s">
        <v>186</v>
      </c>
    </row>
    <row r="132" customFormat="false" ht="15" hidden="false" customHeight="false" outlineLevel="0" collapsed="false">
      <c r="A132" s="10" t="s">
        <v>106</v>
      </c>
      <c r="B132" s="9" t="s">
        <v>107</v>
      </c>
      <c r="C132" s="11" t="s">
        <v>208</v>
      </c>
      <c r="D132" s="4" t="s">
        <v>209</v>
      </c>
      <c r="E132" s="11" t="s">
        <v>175</v>
      </c>
      <c r="F132" s="11" t="s">
        <v>175</v>
      </c>
      <c r="G132" s="12" t="s">
        <v>84</v>
      </c>
      <c r="H132" s="9" t="s">
        <v>186</v>
      </c>
    </row>
    <row r="133" customFormat="false" ht="15" hidden="false" customHeight="false" outlineLevel="0" collapsed="false">
      <c r="A133" s="10" t="s">
        <v>106</v>
      </c>
      <c r="B133" s="9" t="s">
        <v>107</v>
      </c>
      <c r="C133" s="11" t="s">
        <v>208</v>
      </c>
      <c r="D133" s="4" t="s">
        <v>209</v>
      </c>
      <c r="E133" s="11" t="s">
        <v>175</v>
      </c>
      <c r="F133" s="11" t="s">
        <v>175</v>
      </c>
      <c r="G133" s="12" t="s">
        <v>84</v>
      </c>
      <c r="H133" s="9" t="s">
        <v>186</v>
      </c>
    </row>
    <row r="134" customFormat="false" ht="15" hidden="false" customHeight="false" outlineLevel="0" collapsed="false">
      <c r="A134" s="10" t="s">
        <v>106</v>
      </c>
      <c r="B134" s="9" t="s">
        <v>107</v>
      </c>
      <c r="C134" s="11" t="s">
        <v>208</v>
      </c>
      <c r="D134" s="4" t="s">
        <v>209</v>
      </c>
      <c r="E134" s="11" t="s">
        <v>175</v>
      </c>
      <c r="F134" s="11" t="s">
        <v>175</v>
      </c>
      <c r="G134" s="12" t="s">
        <v>84</v>
      </c>
      <c r="H134" s="9" t="s">
        <v>186</v>
      </c>
    </row>
    <row r="135" customFormat="false" ht="15" hidden="false" customHeight="false" outlineLevel="0" collapsed="false">
      <c r="A135" s="10" t="s">
        <v>106</v>
      </c>
      <c r="B135" s="9" t="s">
        <v>107</v>
      </c>
      <c r="C135" s="11" t="s">
        <v>208</v>
      </c>
      <c r="D135" s="4" t="s">
        <v>209</v>
      </c>
      <c r="E135" s="11" t="s">
        <v>175</v>
      </c>
      <c r="F135" s="11" t="s">
        <v>175</v>
      </c>
      <c r="G135" s="12" t="s">
        <v>84</v>
      </c>
      <c r="H135" s="9" t="s">
        <v>186</v>
      </c>
    </row>
    <row r="136" customFormat="false" ht="15" hidden="false" customHeight="false" outlineLevel="0" collapsed="false">
      <c r="A136" s="10" t="s">
        <v>106</v>
      </c>
      <c r="B136" s="9" t="s">
        <v>107</v>
      </c>
      <c r="C136" s="11" t="s">
        <v>208</v>
      </c>
      <c r="D136" s="4" t="s">
        <v>209</v>
      </c>
      <c r="E136" s="11" t="s">
        <v>175</v>
      </c>
      <c r="F136" s="11" t="s">
        <v>175</v>
      </c>
      <c r="G136" s="12" t="s">
        <v>84</v>
      </c>
      <c r="H136" s="9" t="s">
        <v>186</v>
      </c>
    </row>
    <row r="137" customFormat="false" ht="15" hidden="false" customHeight="false" outlineLevel="0" collapsed="false">
      <c r="A137" s="10" t="s">
        <v>106</v>
      </c>
      <c r="B137" s="9" t="s">
        <v>107</v>
      </c>
      <c r="C137" s="11" t="s">
        <v>208</v>
      </c>
      <c r="D137" s="4" t="s">
        <v>209</v>
      </c>
      <c r="E137" s="11" t="s">
        <v>175</v>
      </c>
      <c r="F137" s="11" t="s">
        <v>175</v>
      </c>
      <c r="G137" s="12" t="s">
        <v>84</v>
      </c>
      <c r="H137" s="9" t="s">
        <v>186</v>
      </c>
    </row>
    <row r="138" customFormat="false" ht="15" hidden="false" customHeight="false" outlineLevel="0" collapsed="false">
      <c r="A138" s="10" t="s">
        <v>106</v>
      </c>
      <c r="B138" s="9" t="s">
        <v>107</v>
      </c>
      <c r="C138" s="11" t="s">
        <v>208</v>
      </c>
      <c r="D138" s="4" t="s">
        <v>209</v>
      </c>
      <c r="E138" s="11" t="s">
        <v>175</v>
      </c>
      <c r="F138" s="11" t="s">
        <v>175</v>
      </c>
      <c r="G138" s="12" t="s">
        <v>84</v>
      </c>
      <c r="H138" s="9" t="s">
        <v>186</v>
      </c>
    </row>
    <row r="139" customFormat="false" ht="15" hidden="false" customHeight="false" outlineLevel="0" collapsed="false">
      <c r="A139" s="10" t="s">
        <v>106</v>
      </c>
      <c r="B139" s="9" t="s">
        <v>107</v>
      </c>
      <c r="C139" s="11" t="s">
        <v>208</v>
      </c>
      <c r="D139" s="4" t="s">
        <v>209</v>
      </c>
      <c r="E139" s="11" t="s">
        <v>175</v>
      </c>
      <c r="F139" s="11" t="s">
        <v>175</v>
      </c>
      <c r="G139" s="12" t="s">
        <v>84</v>
      </c>
      <c r="H139" s="9" t="s">
        <v>186</v>
      </c>
    </row>
    <row r="140" customFormat="false" ht="15" hidden="false" customHeight="false" outlineLevel="0" collapsed="false">
      <c r="A140" s="10" t="s">
        <v>106</v>
      </c>
      <c r="B140" s="9" t="s">
        <v>107</v>
      </c>
      <c r="C140" s="11" t="s">
        <v>208</v>
      </c>
      <c r="D140" s="4" t="s">
        <v>209</v>
      </c>
      <c r="E140" s="11" t="s">
        <v>175</v>
      </c>
      <c r="F140" s="11" t="s">
        <v>175</v>
      </c>
      <c r="G140" s="12" t="s">
        <v>84</v>
      </c>
      <c r="H140" s="9" t="s">
        <v>186</v>
      </c>
    </row>
    <row r="141" customFormat="false" ht="15" hidden="false" customHeight="false" outlineLevel="0" collapsed="false">
      <c r="A141" s="10" t="s">
        <v>106</v>
      </c>
      <c r="B141" s="9" t="s">
        <v>107</v>
      </c>
      <c r="C141" s="11" t="s">
        <v>208</v>
      </c>
      <c r="D141" s="4" t="s">
        <v>209</v>
      </c>
      <c r="E141" s="11" t="s">
        <v>175</v>
      </c>
      <c r="F141" s="11" t="s">
        <v>175</v>
      </c>
      <c r="G141" s="12" t="s">
        <v>84</v>
      </c>
      <c r="H141" s="9" t="s">
        <v>186</v>
      </c>
    </row>
    <row r="142" customFormat="false" ht="15" hidden="false" customHeight="false" outlineLevel="0" collapsed="false">
      <c r="A142" s="10" t="s">
        <v>106</v>
      </c>
      <c r="B142" s="9" t="s">
        <v>107</v>
      </c>
      <c r="C142" s="11" t="s">
        <v>208</v>
      </c>
      <c r="D142" s="4" t="s">
        <v>209</v>
      </c>
      <c r="E142" s="11" t="s">
        <v>175</v>
      </c>
      <c r="F142" s="11" t="s">
        <v>175</v>
      </c>
      <c r="G142" s="12" t="s">
        <v>84</v>
      </c>
      <c r="H142" s="9" t="s">
        <v>186</v>
      </c>
    </row>
    <row r="143" customFormat="false" ht="15" hidden="false" customHeight="false" outlineLevel="0" collapsed="false">
      <c r="A143" s="10" t="s">
        <v>106</v>
      </c>
      <c r="B143" s="9" t="s">
        <v>107</v>
      </c>
      <c r="C143" s="11" t="s">
        <v>208</v>
      </c>
      <c r="D143" s="4" t="s">
        <v>209</v>
      </c>
      <c r="E143" s="11" t="s">
        <v>175</v>
      </c>
      <c r="F143" s="11" t="s">
        <v>175</v>
      </c>
      <c r="G143" s="12" t="s">
        <v>84</v>
      </c>
      <c r="H143" s="9" t="s">
        <v>186</v>
      </c>
    </row>
    <row r="144" customFormat="false" ht="15" hidden="false" customHeight="false" outlineLevel="0" collapsed="false">
      <c r="A144" s="10" t="s">
        <v>106</v>
      </c>
      <c r="B144" s="9" t="s">
        <v>107</v>
      </c>
      <c r="C144" s="11" t="s">
        <v>208</v>
      </c>
      <c r="D144" s="4" t="s">
        <v>209</v>
      </c>
      <c r="E144" s="11" t="s">
        <v>175</v>
      </c>
      <c r="F144" s="11" t="s">
        <v>175</v>
      </c>
      <c r="G144" s="12" t="s">
        <v>84</v>
      </c>
      <c r="H144" s="9" t="s">
        <v>186</v>
      </c>
    </row>
    <row r="145" customFormat="false" ht="15" hidden="false" customHeight="false" outlineLevel="0" collapsed="false">
      <c r="A145" s="10" t="s">
        <v>106</v>
      </c>
      <c r="B145" s="9" t="s">
        <v>107</v>
      </c>
      <c r="C145" s="11" t="s">
        <v>208</v>
      </c>
      <c r="D145" s="4" t="s">
        <v>209</v>
      </c>
      <c r="E145" s="11" t="s">
        <v>175</v>
      </c>
      <c r="F145" s="11" t="s">
        <v>175</v>
      </c>
      <c r="G145" s="12" t="s">
        <v>84</v>
      </c>
      <c r="H145" s="9" t="s">
        <v>186</v>
      </c>
    </row>
    <row r="146" customFormat="false" ht="15" hidden="false" customHeight="false" outlineLevel="0" collapsed="false">
      <c r="A146" s="10" t="s">
        <v>106</v>
      </c>
      <c r="B146" s="9" t="s">
        <v>107</v>
      </c>
      <c r="C146" s="11" t="s">
        <v>208</v>
      </c>
      <c r="D146" s="4" t="s">
        <v>209</v>
      </c>
      <c r="E146" s="11" t="s">
        <v>175</v>
      </c>
      <c r="F146" s="11" t="s">
        <v>175</v>
      </c>
      <c r="G146" s="12" t="s">
        <v>84</v>
      </c>
      <c r="H146" s="9" t="s">
        <v>186</v>
      </c>
    </row>
    <row r="147" customFormat="false" ht="15" hidden="false" customHeight="false" outlineLevel="0" collapsed="false">
      <c r="A147" s="10" t="s">
        <v>106</v>
      </c>
      <c r="B147" s="9" t="s">
        <v>107</v>
      </c>
      <c r="C147" s="11" t="s">
        <v>208</v>
      </c>
      <c r="D147" s="4" t="s">
        <v>209</v>
      </c>
      <c r="E147" s="11" t="s">
        <v>175</v>
      </c>
      <c r="F147" s="11" t="s">
        <v>175</v>
      </c>
      <c r="G147" s="12" t="s">
        <v>84</v>
      </c>
      <c r="H147" s="9" t="s">
        <v>186</v>
      </c>
    </row>
    <row r="148" customFormat="false" ht="15" hidden="false" customHeight="false" outlineLevel="0" collapsed="false">
      <c r="A148" s="10" t="s">
        <v>106</v>
      </c>
      <c r="B148" s="9" t="s">
        <v>107</v>
      </c>
      <c r="C148" s="11" t="s">
        <v>208</v>
      </c>
      <c r="D148" s="4" t="s">
        <v>209</v>
      </c>
      <c r="E148" s="11" t="s">
        <v>175</v>
      </c>
      <c r="F148" s="11" t="s">
        <v>175</v>
      </c>
      <c r="G148" s="12" t="s">
        <v>84</v>
      </c>
      <c r="H148" s="9" t="s">
        <v>186</v>
      </c>
    </row>
    <row r="149" customFormat="false" ht="15" hidden="false" customHeight="false" outlineLevel="0" collapsed="false">
      <c r="A149" s="10" t="s">
        <v>106</v>
      </c>
      <c r="B149" s="9" t="s">
        <v>107</v>
      </c>
      <c r="C149" s="11" t="s">
        <v>208</v>
      </c>
      <c r="D149" s="4" t="s">
        <v>209</v>
      </c>
      <c r="E149" s="11" t="s">
        <v>175</v>
      </c>
      <c r="F149" s="11" t="s">
        <v>175</v>
      </c>
      <c r="G149" s="12" t="s">
        <v>84</v>
      </c>
      <c r="H149" s="9" t="s">
        <v>186</v>
      </c>
    </row>
    <row r="150" customFormat="false" ht="15" hidden="false" customHeight="false" outlineLevel="0" collapsed="false">
      <c r="A150" s="10" t="s">
        <v>106</v>
      </c>
      <c r="B150" s="9" t="s">
        <v>107</v>
      </c>
      <c r="C150" s="11" t="s">
        <v>210</v>
      </c>
      <c r="D150" s="4" t="s">
        <v>211</v>
      </c>
      <c r="E150" s="11" t="s">
        <v>121</v>
      </c>
      <c r="F150" s="11" t="s">
        <v>121</v>
      </c>
      <c r="G150" s="12" t="s">
        <v>84</v>
      </c>
      <c r="H150" s="9" t="s">
        <v>186</v>
      </c>
    </row>
    <row r="151" customFormat="false" ht="15" hidden="false" customHeight="false" outlineLevel="0" collapsed="false">
      <c r="A151" s="10" t="s">
        <v>81</v>
      </c>
      <c r="B151" s="9" t="s">
        <v>110</v>
      </c>
      <c r="C151" s="11" t="s">
        <v>119</v>
      </c>
      <c r="D151" s="4" t="s">
        <v>212</v>
      </c>
      <c r="E151" s="11" t="s">
        <v>175</v>
      </c>
      <c r="F151" s="11" t="s">
        <v>175</v>
      </c>
      <c r="G151" s="12" t="s">
        <v>84</v>
      </c>
      <c r="H151" s="9" t="s">
        <v>78</v>
      </c>
    </row>
    <row r="152" customFormat="false" ht="15" hidden="false" customHeight="false" outlineLevel="0" collapsed="false">
      <c r="A152" s="10" t="s">
        <v>81</v>
      </c>
      <c r="B152" s="9" t="s">
        <v>110</v>
      </c>
      <c r="C152" s="11" t="s">
        <v>122</v>
      </c>
      <c r="D152" s="4" t="s">
        <v>213</v>
      </c>
      <c r="E152" s="11" t="s">
        <v>121</v>
      </c>
      <c r="F152" s="11" t="s">
        <v>121</v>
      </c>
      <c r="G152" s="12" t="s">
        <v>84</v>
      </c>
      <c r="H152" s="9" t="s">
        <v>78</v>
      </c>
    </row>
    <row r="153" customFormat="false" ht="15" hidden="false" customHeight="false" outlineLevel="0" collapsed="false">
      <c r="A153" s="10" t="s">
        <v>81</v>
      </c>
      <c r="B153" s="9" t="s">
        <v>110</v>
      </c>
      <c r="C153" s="11" t="s">
        <v>129</v>
      </c>
      <c r="D153" s="4" t="s">
        <v>120</v>
      </c>
      <c r="E153" s="11" t="s">
        <v>121</v>
      </c>
      <c r="F153" s="11" t="s">
        <v>121</v>
      </c>
      <c r="G153" s="12" t="s">
        <v>84</v>
      </c>
      <c r="H153" s="9" t="s">
        <v>112</v>
      </c>
    </row>
    <row r="154" customFormat="false" ht="15" hidden="false" customHeight="false" outlineLevel="0" collapsed="false">
      <c r="A154" s="10" t="s">
        <v>81</v>
      </c>
      <c r="B154" s="9" t="s">
        <v>110</v>
      </c>
      <c r="C154" s="11" t="s">
        <v>131</v>
      </c>
      <c r="D154" s="4" t="s">
        <v>123</v>
      </c>
      <c r="E154" s="11" t="s">
        <v>121</v>
      </c>
      <c r="F154" s="11" t="s">
        <v>121</v>
      </c>
      <c r="G154" s="12" t="s">
        <v>84</v>
      </c>
      <c r="H154" s="9" t="s">
        <v>112</v>
      </c>
    </row>
    <row r="155" customFormat="false" ht="15" hidden="false" customHeight="false" outlineLevel="0" collapsed="false">
      <c r="A155" s="10" t="s">
        <v>81</v>
      </c>
      <c r="B155" s="9" t="s">
        <v>110</v>
      </c>
      <c r="C155" s="11" t="s">
        <v>156</v>
      </c>
      <c r="D155" s="4" t="s">
        <v>214</v>
      </c>
      <c r="E155" s="11" t="s">
        <v>154</v>
      </c>
      <c r="F155" s="11" t="s">
        <v>154</v>
      </c>
      <c r="G155" s="12" t="s">
        <v>84</v>
      </c>
      <c r="H155" s="9" t="s">
        <v>112</v>
      </c>
    </row>
  </sheetData>
  <autoFilter ref="A1:H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9"/>
    <col collapsed="false" customWidth="true" hidden="false" outlineLevel="0" max="10" min="10" style="0" width="11"/>
  </cols>
  <sheetData>
    <row r="1" customFormat="false" ht="27.75" hidden="false" customHeight="true" outlineLevel="0" collapsed="false">
      <c r="A1" s="7" t="s">
        <v>30</v>
      </c>
      <c r="B1" s="7" t="s">
        <v>87</v>
      </c>
      <c r="C1" s="7" t="s">
        <v>41</v>
      </c>
      <c r="D1" s="7" t="s">
        <v>92</v>
      </c>
      <c r="E1" s="7" t="s">
        <v>96</v>
      </c>
      <c r="F1" s="7" t="s">
        <v>100</v>
      </c>
      <c r="G1" s="7" t="s">
        <v>77</v>
      </c>
      <c r="H1" s="7" t="s">
        <v>106</v>
      </c>
      <c r="I1" s="7" t="s">
        <v>81</v>
      </c>
      <c r="J1" s="7" t="s">
        <v>215</v>
      </c>
    </row>
    <row r="2" customFormat="false" ht="15" hidden="false" customHeight="false" outlineLevel="0" collapsed="false">
      <c r="A2" s="8" t="s">
        <v>34</v>
      </c>
      <c r="B2" s="12" t="s">
        <v>216</v>
      </c>
      <c r="C2" s="8"/>
      <c r="D2" s="8"/>
      <c r="E2" s="8"/>
      <c r="F2" s="8"/>
      <c r="G2" s="8"/>
      <c r="H2" s="8"/>
      <c r="I2" s="12" t="s">
        <v>216</v>
      </c>
      <c r="J2" s="10" t="n">
        <f aca="false">COUNTIF(B2:I2,"X")</f>
        <v>2</v>
      </c>
    </row>
    <row r="3" customFormat="false" ht="15" hidden="false" customHeight="false" outlineLevel="0" collapsed="false">
      <c r="A3" s="8" t="s">
        <v>38</v>
      </c>
      <c r="B3" s="8"/>
      <c r="C3" s="12" t="s">
        <v>216</v>
      </c>
      <c r="D3" s="8"/>
      <c r="E3" s="8"/>
      <c r="F3" s="8"/>
      <c r="G3" s="8"/>
      <c r="H3" s="8"/>
      <c r="I3" s="8"/>
      <c r="J3" s="10" t="n">
        <f aca="false">COUNTIF(B3:I3,"X")</f>
        <v>1</v>
      </c>
    </row>
    <row r="4" customFormat="false" ht="15" hidden="false" customHeight="false" outlineLevel="0" collapsed="false">
      <c r="A4" s="8" t="s">
        <v>42</v>
      </c>
      <c r="B4" s="8"/>
      <c r="C4" s="12" t="s">
        <v>216</v>
      </c>
      <c r="D4" s="8"/>
      <c r="E4" s="8"/>
      <c r="F4" s="8"/>
      <c r="G4" s="8"/>
      <c r="H4" s="8"/>
      <c r="I4" s="8"/>
      <c r="J4" s="10" t="n">
        <f aca="false">COUNTIF(B4:I4,"X")</f>
        <v>1</v>
      </c>
    </row>
    <row r="5" customFormat="false" ht="15" hidden="false" customHeight="false" outlineLevel="0" collapsed="false">
      <c r="A5" s="8" t="s">
        <v>45</v>
      </c>
      <c r="B5" s="8"/>
      <c r="C5" s="12" t="s">
        <v>216</v>
      </c>
      <c r="D5" s="8"/>
      <c r="E5" s="8"/>
      <c r="F5" s="8"/>
      <c r="G5" s="8"/>
      <c r="H5" s="8"/>
      <c r="I5" s="8"/>
      <c r="J5" s="10" t="n">
        <f aca="false">COUNTIF(B5:I5,"X")</f>
        <v>1</v>
      </c>
    </row>
    <row r="6" customFormat="false" ht="15" hidden="false" customHeight="false" outlineLevel="0" collapsed="false">
      <c r="A6" s="8" t="s">
        <v>48</v>
      </c>
      <c r="B6" s="8"/>
      <c r="C6" s="12" t="s">
        <v>216</v>
      </c>
      <c r="D6" s="8"/>
      <c r="E6" s="12" t="s">
        <v>216</v>
      </c>
      <c r="F6" s="8"/>
      <c r="G6" s="8"/>
      <c r="H6" s="8"/>
      <c r="I6" s="8"/>
      <c r="J6" s="10" t="n">
        <f aca="false">COUNTIF(B6:I6,"X")</f>
        <v>2</v>
      </c>
    </row>
    <row r="7" customFormat="false" ht="15" hidden="false" customHeight="false" outlineLevel="0" collapsed="false">
      <c r="A7" s="8" t="s">
        <v>52</v>
      </c>
      <c r="B7" s="8"/>
      <c r="C7" s="8"/>
      <c r="D7" s="12" t="s">
        <v>216</v>
      </c>
      <c r="E7" s="12" t="s">
        <v>216</v>
      </c>
      <c r="F7" s="8"/>
      <c r="G7" s="8"/>
      <c r="H7" s="12" t="s">
        <v>216</v>
      </c>
      <c r="I7" s="8"/>
      <c r="J7" s="10" t="n">
        <f aca="false">COUNTIF(B7:I7,"X")</f>
        <v>3</v>
      </c>
    </row>
    <row r="8" customFormat="false" ht="15" hidden="false" customHeight="false" outlineLevel="0" collapsed="false">
      <c r="A8" s="8" t="s">
        <v>56</v>
      </c>
      <c r="B8" s="8"/>
      <c r="C8" s="8"/>
      <c r="D8" s="12" t="s">
        <v>216</v>
      </c>
      <c r="E8" s="8"/>
      <c r="F8" s="8"/>
      <c r="G8" s="12" t="s">
        <v>216</v>
      </c>
      <c r="H8" s="12" t="s">
        <v>216</v>
      </c>
      <c r="I8" s="8"/>
      <c r="J8" s="10" t="n">
        <f aca="false">COUNTIF(B8:I8,"X")</f>
        <v>3</v>
      </c>
    </row>
    <row r="9" customFormat="false" ht="15" hidden="false" customHeight="false" outlineLevel="0" collapsed="false">
      <c r="A9" s="8" t="s">
        <v>60</v>
      </c>
      <c r="B9" s="8"/>
      <c r="C9" s="8"/>
      <c r="D9" s="12" t="s">
        <v>216</v>
      </c>
      <c r="E9" s="8"/>
      <c r="F9" s="8"/>
      <c r="G9" s="8"/>
      <c r="H9" s="12" t="s">
        <v>216</v>
      </c>
      <c r="I9" s="8"/>
      <c r="J9" s="10" t="n">
        <f aca="false">COUNTIF(B9:I9,"X")</f>
        <v>2</v>
      </c>
    </row>
    <row r="10" customFormat="false" ht="15" hidden="false" customHeight="false" outlineLevel="0" collapsed="false">
      <c r="A10" s="8" t="s">
        <v>64</v>
      </c>
      <c r="B10" s="8"/>
      <c r="C10" s="12" t="s">
        <v>216</v>
      </c>
      <c r="D10" s="8"/>
      <c r="E10" s="12" t="s">
        <v>216</v>
      </c>
      <c r="F10" s="12" t="s">
        <v>216</v>
      </c>
      <c r="G10" s="8"/>
      <c r="H10" s="8"/>
      <c r="I10" s="8"/>
      <c r="J10" s="10" t="n">
        <f aca="false">COUNTIF(B10:I10,"X")</f>
        <v>3</v>
      </c>
    </row>
    <row r="11" customFormat="false" ht="15" hidden="false" customHeight="false" outlineLevel="0" collapsed="false">
      <c r="A11" s="8" t="s">
        <v>68</v>
      </c>
      <c r="B11" s="8"/>
      <c r="C11" s="8"/>
      <c r="D11" s="8"/>
      <c r="E11" s="12" t="s">
        <v>216</v>
      </c>
      <c r="F11" s="12" t="s">
        <v>216</v>
      </c>
      <c r="G11" s="8"/>
      <c r="H11" s="12" t="s">
        <v>216</v>
      </c>
      <c r="I11" s="8"/>
      <c r="J11" s="10" t="n">
        <f aca="false">COUNTIF(B11:I11,"X")</f>
        <v>3</v>
      </c>
    </row>
    <row r="12" customFormat="false" ht="15" hidden="false" customHeight="false" outlineLevel="0" collapsed="false">
      <c r="A12" s="8" t="s">
        <v>72</v>
      </c>
      <c r="B12" s="8"/>
      <c r="C12" s="8"/>
      <c r="D12" s="8"/>
      <c r="E12" s="12" t="s">
        <v>216</v>
      </c>
      <c r="F12" s="12" t="s">
        <v>216</v>
      </c>
      <c r="G12" s="8"/>
      <c r="H12" s="12" t="s">
        <v>216</v>
      </c>
      <c r="I12" s="8"/>
      <c r="J12" s="10" t="n">
        <f aca="false">COUNTIF(B12:I12,"X")</f>
        <v>3</v>
      </c>
    </row>
    <row r="13" customFormat="false" ht="15" hidden="false" customHeight="false" outlineLevel="0" collapsed="false">
      <c r="A13" s="8" t="s">
        <v>74</v>
      </c>
      <c r="B13" s="8"/>
      <c r="C13" s="8"/>
      <c r="D13" s="8"/>
      <c r="E13" s="8"/>
      <c r="F13" s="8"/>
      <c r="G13" s="12" t="s">
        <v>216</v>
      </c>
      <c r="H13" s="8"/>
      <c r="I13" s="8"/>
      <c r="J13" s="10" t="n">
        <f aca="false">COUNTIF(B13:I13,"X")</f>
        <v>1</v>
      </c>
    </row>
    <row r="14" customFormat="false" ht="15" hidden="false" customHeight="false" outlineLevel="0" collapsed="false">
      <c r="A14" s="8" t="s">
        <v>78</v>
      </c>
      <c r="B14" s="8"/>
      <c r="C14" s="8"/>
      <c r="D14" s="8"/>
      <c r="E14" s="8"/>
      <c r="F14" s="8"/>
      <c r="G14" s="8"/>
      <c r="H14" s="8"/>
      <c r="I14" s="12" t="s">
        <v>216</v>
      </c>
      <c r="J14" s="10" t="n">
        <f aca="false">COUNTIF(B14:I14,"X")</f>
        <v>1</v>
      </c>
    </row>
    <row r="16" customFormat="false" ht="15" hidden="false" customHeight="true" outlineLevel="0" collapsed="false">
      <c r="A16" s="6" t="s">
        <v>217</v>
      </c>
      <c r="B16" s="6"/>
      <c r="C16" s="6"/>
      <c r="D16" s="6"/>
      <c r="E16" s="6"/>
      <c r="F16" s="6"/>
      <c r="G16" s="6"/>
      <c r="H16" s="6"/>
      <c r="I16" s="6"/>
      <c r="J16" s="6"/>
    </row>
  </sheetData>
  <mergeCells count="1"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7" t="s">
        <v>218</v>
      </c>
      <c r="B1" s="7" t="s">
        <v>219</v>
      </c>
      <c r="C1" s="7" t="s">
        <v>220</v>
      </c>
    </row>
    <row r="2" customFormat="false" ht="15" hidden="false" customHeight="false" outlineLevel="0" collapsed="false">
      <c r="A2" s="4" t="s">
        <v>221</v>
      </c>
      <c r="B2" s="4" t="s">
        <v>222</v>
      </c>
      <c r="C2" s="9" t="s">
        <v>51</v>
      </c>
    </row>
    <row r="3" customFormat="false" ht="15" hidden="false" customHeight="false" outlineLevel="0" collapsed="false">
      <c r="A3" s="4" t="s">
        <v>223</v>
      </c>
      <c r="B3" s="4" t="s">
        <v>224</v>
      </c>
      <c r="C3" s="9" t="s">
        <v>225</v>
      </c>
    </row>
    <row r="4" customFormat="false" ht="15" hidden="false" customHeight="false" outlineLevel="0" collapsed="false">
      <c r="A4" s="4" t="s">
        <v>226</v>
      </c>
      <c r="B4" s="4" t="s">
        <v>227</v>
      </c>
      <c r="C4" s="9" t="s">
        <v>100</v>
      </c>
    </row>
    <row r="5" customFormat="false" ht="15" hidden="false" customHeight="false" outlineLevel="0" collapsed="false">
      <c r="A5" s="4" t="s">
        <v>228</v>
      </c>
      <c r="B5" s="4" t="s">
        <v>229</v>
      </c>
      <c r="C5" s="9" t="s">
        <v>230</v>
      </c>
    </row>
    <row r="6" customFormat="false" ht="15" hidden="false" customHeight="false" outlineLevel="0" collapsed="false">
      <c r="A6" s="4" t="s">
        <v>231</v>
      </c>
      <c r="B6" s="4" t="s">
        <v>232</v>
      </c>
      <c r="C6" s="9" t="s">
        <v>106</v>
      </c>
    </row>
    <row r="7" customFormat="false" ht="15" hidden="false" customHeight="false" outlineLevel="0" collapsed="false">
      <c r="A7" s="4" t="s">
        <v>233</v>
      </c>
      <c r="B7" s="4" t="s">
        <v>234</v>
      </c>
      <c r="C7" s="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235</v>
      </c>
    </row>
    <row r="3" customFormat="false" ht="27.75" hidden="false" customHeight="true" outlineLevel="0" collapsed="false">
      <c r="A3" s="7" t="s">
        <v>29</v>
      </c>
      <c r="B3" s="7" t="s">
        <v>236</v>
      </c>
      <c r="C3" s="7" t="s">
        <v>86</v>
      </c>
      <c r="D3" s="7" t="s">
        <v>237</v>
      </c>
    </row>
    <row r="4" customFormat="false" ht="15" hidden="false" customHeight="false" outlineLevel="0" collapsed="false">
      <c r="A4" s="10" t="s">
        <v>238</v>
      </c>
      <c r="B4" s="4" t="s">
        <v>239</v>
      </c>
      <c r="C4" s="12" t="s">
        <v>240</v>
      </c>
      <c r="D4" s="10" t="s">
        <v>92</v>
      </c>
    </row>
    <row r="5" customFormat="false" ht="15" hidden="false" customHeight="false" outlineLevel="0" collapsed="false">
      <c r="A5" s="10" t="s">
        <v>241</v>
      </c>
      <c r="B5" s="4" t="s">
        <v>242</v>
      </c>
      <c r="C5" s="12" t="s">
        <v>240</v>
      </c>
      <c r="D5" s="10" t="s">
        <v>243</v>
      </c>
    </row>
    <row r="6" customFormat="false" ht="15" hidden="false" customHeight="false" outlineLevel="0" collapsed="false">
      <c r="A6" s="10" t="s">
        <v>244</v>
      </c>
      <c r="B6" s="4" t="s">
        <v>245</v>
      </c>
      <c r="C6" s="13" t="s">
        <v>246</v>
      </c>
      <c r="D6" s="10" t="s">
        <v>247</v>
      </c>
    </row>
    <row r="7" customFormat="false" ht="15" hidden="false" customHeight="false" outlineLevel="0" collapsed="false">
      <c r="A7" s="10" t="s">
        <v>248</v>
      </c>
      <c r="B7" s="4" t="s">
        <v>249</v>
      </c>
      <c r="C7" s="12" t="s">
        <v>240</v>
      </c>
      <c r="D7" s="10" t="s">
        <v>41</v>
      </c>
    </row>
    <row r="8" customFormat="false" ht="15" hidden="false" customHeight="false" outlineLevel="0" collapsed="false">
      <c r="A8" s="10" t="s">
        <v>250</v>
      </c>
      <c r="B8" s="4" t="s">
        <v>251</v>
      </c>
      <c r="C8" s="12" t="s">
        <v>240</v>
      </c>
      <c r="D8" s="10" t="s">
        <v>81</v>
      </c>
    </row>
    <row r="9" customFormat="false" ht="15" hidden="false" customHeight="false" outlineLevel="0" collapsed="false">
      <c r="A9" s="10" t="s">
        <v>252</v>
      </c>
      <c r="B9" s="4" t="s">
        <v>253</v>
      </c>
      <c r="C9" s="12" t="s">
        <v>240</v>
      </c>
      <c r="D9" s="10" t="s">
        <v>254</v>
      </c>
    </row>
    <row r="10" customFormat="false" ht="15" hidden="false" customHeight="false" outlineLevel="0" collapsed="false">
      <c r="A10" s="10" t="s">
        <v>255</v>
      </c>
      <c r="B10" s="4" t="s">
        <v>256</v>
      </c>
      <c r="C10" s="12" t="s">
        <v>240</v>
      </c>
      <c r="D10" s="10" t="s">
        <v>96</v>
      </c>
    </row>
    <row r="12" customFormat="false" ht="15" hidden="false" customHeight="false" outlineLevel="0" collapsed="false">
      <c r="A12" s="4" t="s">
        <v>257</v>
      </c>
      <c r="B12" s="8" t="str">
        <f aca="false">COUNTIF(C4:C10,"BAT DUOC")&amp;"/"&amp;COUNTA(C4:C10)</f>
        <v>6/7</v>
      </c>
    </row>
    <row r="13" customFormat="false" ht="22.35" hidden="false" customHeight="true" outlineLevel="0" collapsed="false">
      <c r="A13" s="6" t="s">
        <v>258</v>
      </c>
      <c r="B13" s="6"/>
      <c r="C13" s="6"/>
      <c r="D13" s="6"/>
    </row>
  </sheetData>
  <mergeCells count="1"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2"/>
  </cols>
  <sheetData>
    <row r="1" customFormat="false" ht="27.75" hidden="false" customHeight="true" outlineLevel="0" collapsed="false">
      <c r="A1" s="7" t="s">
        <v>29</v>
      </c>
      <c r="B1" s="7" t="s">
        <v>259</v>
      </c>
      <c r="C1" s="7" t="s">
        <v>260</v>
      </c>
    </row>
    <row r="2" customFormat="false" ht="35.05" hidden="false" customHeight="false" outlineLevel="0" collapsed="false">
      <c r="A2" s="8" t="s">
        <v>261</v>
      </c>
      <c r="B2" s="4" t="s">
        <v>262</v>
      </c>
      <c r="C2" s="4" t="s">
        <v>263</v>
      </c>
    </row>
    <row r="3" customFormat="false" ht="15" hidden="false" customHeight="false" outlineLevel="0" collapsed="false">
      <c r="A3" s="8" t="s">
        <v>264</v>
      </c>
      <c r="B3" s="4" t="s">
        <v>265</v>
      </c>
      <c r="C3" s="4" t="s">
        <v>266</v>
      </c>
    </row>
    <row r="4" customFormat="false" ht="15" hidden="false" customHeight="false" outlineLevel="0" collapsed="false">
      <c r="A4" s="8" t="s">
        <v>267</v>
      </c>
      <c r="B4" s="4" t="s">
        <v>268</v>
      </c>
      <c r="C4" s="4" t="s">
        <v>269</v>
      </c>
    </row>
    <row r="5" customFormat="false" ht="23.85" hidden="false" customHeight="false" outlineLevel="0" collapsed="false">
      <c r="A5" s="8" t="s">
        <v>270</v>
      </c>
      <c r="B5" s="4" t="s">
        <v>271</v>
      </c>
      <c r="C5" s="4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2026-09-30T07:04:02Z</dcterms:created>
  <dc:creator>openpyxl</dc:creator>
  <dc:description/>
  <dc:language>en-US</dc:language>
  <cp:lastModifiedBy/>
  <dcterms:modified xsi:type="dcterms:W3CDTF">2026-09-30T07:04:02Z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